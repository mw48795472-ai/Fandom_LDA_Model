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안내" sheetId="1" state="visible" r:id="rId1"/>
    <sheet xmlns:r="http://schemas.openxmlformats.org/officeDocument/2006/relationships" name="광고" sheetId="2" state="visible" r:id="rId2"/>
    <sheet xmlns:r="http://schemas.openxmlformats.org/officeDocument/2006/relationships" name="미디어" sheetId="3" state="visible" r:id="rId3"/>
    <sheet xmlns:r="http://schemas.openxmlformats.org/officeDocument/2006/relationships" name="지역" sheetId="4" state="visible" r:id="rId4"/>
    <sheet xmlns:r="http://schemas.openxmlformats.org/officeDocument/2006/relationships" name="사전후보" sheetId="5" state="visible" r:id="rId5"/>
    <sheet xmlns:r="http://schemas.openxmlformats.org/officeDocument/2006/relationships" name="집계" sheetId="6" state="visible" r:id="rId6"/>
  </sheets>
  <definedNames>
    <definedName name="_xlnm._FilterDatabase" localSheetId="1" hidden="1">'광고'!$A$1:$I$201</definedName>
    <definedName name="_xlnm._FilterDatabase" localSheetId="2" hidden="1">'미디어'!$A$1:$I$201</definedName>
    <definedName name="_xlnm._FilterDatabase" localSheetId="3" hidden="1">'지역'!$A$1:$I$201</definedName>
  </definedNames>
  <calcPr calcId="124519" fullCalcOnLoad="1"/>
</workbook>
</file>

<file path=xl/styles.xml><?xml version="1.0" encoding="utf-8"?>
<styleSheet xmlns="http://schemas.openxmlformats.org/spreadsheetml/2006/main">
  <numFmts count="2">
    <numFmt numFmtId="164" formatCode="0.0%"/>
    <numFmt numFmtId="165" formatCode="0.000"/>
  </numFmts>
  <fonts count="3">
    <font>
      <name val="Calibri"/>
      <family val="2"/>
      <color theme="1"/>
      <sz val="11"/>
      <scheme val="minor"/>
    </font>
    <font>
      <b val="1"/>
      <sz val="13"/>
    </font>
    <font>
      <b val="1"/>
    </font>
  </fonts>
  <fills count="4">
    <fill>
      <patternFill/>
    </fill>
    <fill>
      <patternFill patternType="gray125"/>
    </fill>
    <fill>
      <patternFill patternType="solid">
        <fgColor rgb="00E8EEF3"/>
      </patternFill>
    </fill>
    <fill>
      <patternFill patternType="solid">
        <fgColor rgb="00FFF4CC"/>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2" borderId="0" pivotButton="0" quotePrefix="0" xfId="0"/>
    <xf numFmtId="0" fontId="0" fillId="0" borderId="0" applyAlignment="1" pivotButton="0" quotePrefix="0" xfId="0">
      <alignment vertical="top" wrapText="1"/>
    </xf>
    <xf numFmtId="0" fontId="0" fillId="3" borderId="0" pivotButton="0" quotePrefix="0" xfId="0"/>
    <xf numFmtId="0" fontId="0" fillId="3" borderId="0"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20" customWidth="1" min="1" max="1"/>
  </cols>
  <sheetData>
    <row r="1">
      <c r="A1" s="1" t="inlineStr">
        <is>
          <t>보조지표 사전 매칭 누락 검수 — 저자 판정 시트</t>
        </is>
      </c>
    </row>
    <row r="2">
      <c r="A2" t="inlineStr"/>
    </row>
    <row r="3">
      <c r="A3" t="inlineStr">
        <is>
          <t>각 시트의 문장은 해당 지수의 사전에 '잡히지 않은' 불릿 중 무작위 200건이다(seed 0).</t>
        </is>
      </c>
    </row>
    <row r="4">
      <c r="A4" t="inlineStr">
        <is>
          <t>'모델 판독' 열은 Claude가 읽고 적은 것: Y = 이 지표에 잡혔어야 함(사전 누락), N = 아님.</t>
        </is>
      </c>
    </row>
    <row r="5">
      <c r="A5" t="inlineStr">
        <is>
          <t>'저자 판정' 열에 O(판독이 맞다) 또는 X(틀리다)를 적는다. X이면 '메모'에 이유를 적어 주면 사전 갱신에 쓴다.</t>
        </is>
      </c>
    </row>
    <row r="6">
      <c r="A6" t="inlineStr">
        <is>
          <t>Y 행(노란색)만 봐도 되고, N 행 중 잡혔어야 할 것이 보이면 X를 적어 준다.</t>
        </is>
      </c>
    </row>
    <row r="7">
      <c r="A7" t="inlineStr">
        <is>
          <t>집계 시트가 O/X 수를 세고, 표본 누락 비율·재현율 추정치를 다시 계산한다.</t>
        </is>
      </c>
    </row>
    <row r="8">
      <c r="A8" t="inlineStr"/>
    </row>
    <row r="9">
      <c r="A9" t="inlineStr">
        <is>
          <t>시트별 질문:</t>
        </is>
      </c>
    </row>
    <row r="10">
      <c r="A10" t="inlineStr">
        <is>
          <t xml:space="preserve">  광고: 광고·상업성 지수(31개 신호 + 부정 가드)에 잡혔어야 하는 문장인가 — 브랜드 앰버서더·광고 모델·협찬·파트너십 같은 상업 계약 신호</t>
        </is>
      </c>
    </row>
    <row r="11">
      <c r="A11" t="inlineStr">
        <is>
          <t xml:space="preserve">  미디어: 미디어·콘텐츠 노출 지수(예능/유튜브/영화/드라마 서브태그)에 잡혔어야 하는 문장인가 — 방송·예능·라디오·영화·드라마·서바이벌 출연</t>
        </is>
      </c>
    </row>
    <row r="12">
      <c r="A12" t="inlineStr">
        <is>
          <t xml:space="preserve">  지역: 국내 지역 지수(17개 시·도 48개 키워드)에 잡혔어야 하는 문장인가 — 국내 지역·도시 이름 언급</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6" customWidth="1" min="2" max="2"/>
    <col width="10" customWidth="1" min="3" max="3"/>
    <col width="90" customWidth="1" min="4" max="4"/>
    <col width="18" customWidth="1" min="5" max="5"/>
    <col width="12" customWidth="1" min="6" max="6"/>
    <col width="40" customWidth="1" min="7" max="7"/>
    <col width="12" customWidth="1" min="8" max="8"/>
    <col width="30" customWidth="1" min="9" max="9"/>
  </cols>
  <sheetData>
    <row r="1">
      <c r="A1" s="2" t="inlineStr">
        <is>
          <t>번호</t>
        </is>
      </c>
      <c r="B1" s="2" t="inlineStr">
        <is>
          <t>팬덤</t>
        </is>
      </c>
      <c r="C1" s="2" t="inlineStr">
        <is>
          <t>유형</t>
        </is>
      </c>
      <c r="D1" s="2" t="inlineStr">
        <is>
          <t>문장</t>
        </is>
      </c>
      <c r="E1" s="2" t="inlineStr">
        <is>
          <t>힌트어(사전 밖 유사 표현)</t>
        </is>
      </c>
      <c r="F1" s="2" t="inlineStr">
        <is>
          <t>모델 판독(Y/N)</t>
        </is>
      </c>
      <c r="G1" s="2" t="inlineStr">
        <is>
          <t>판독 사유</t>
        </is>
      </c>
      <c r="H1" s="2" t="inlineStr">
        <is>
          <t>저자 판정(O/X)</t>
        </is>
      </c>
      <c r="I1" s="2" t="inlineStr">
        <is>
          <t>메모</t>
        </is>
      </c>
    </row>
    <row r="2">
      <c r="A2" t="n">
        <v>1</v>
      </c>
      <c r="B2" t="inlineStr">
        <is>
          <t>(여자)아이들</t>
        </is>
      </c>
      <c r="C2" t="inlineStr">
        <is>
          <t>loyalty</t>
        </is>
      </c>
      <c r="D2" s="3" t="inlineStr">
        <is>
          <t>(여자)아이들의 네 번째 월드투어 'Syncopation' 마카오 공연 추가 회차는 2026년 예매 시작 직후 매진됐다.</t>
        </is>
      </c>
      <c r="E2" t="inlineStr"/>
      <c r="F2" t="inlineStr">
        <is>
          <t>N</t>
        </is>
      </c>
      <c r="G2" t="inlineStr"/>
      <c r="H2" t="inlineStr"/>
      <c r="I2" t="inlineStr"/>
    </row>
    <row r="3">
      <c r="A3" t="n">
        <v>2</v>
      </c>
      <c r="B3" t="inlineStr">
        <is>
          <t>프로미스나인</t>
        </is>
      </c>
      <c r="C3" t="inlineStr">
        <is>
          <t>loyalty</t>
        </is>
      </c>
      <c r="D3" s="3" t="inlineStr">
        <is>
          <t>프로미스나인의 플레디스 계약 종료(결별) 소식이 YesAsia.ru에 보도됨</t>
        </is>
      </c>
      <c r="E3" t="inlineStr"/>
      <c r="F3" t="inlineStr">
        <is>
          <t>N</t>
        </is>
      </c>
      <c r="G3" t="inlineStr"/>
      <c r="H3" t="inlineStr"/>
      <c r="I3" t="inlineStr"/>
    </row>
    <row r="4">
      <c r="A4" t="n">
        <v>3</v>
      </c>
      <c r="B4" t="inlineStr">
        <is>
          <t>임영웅</t>
        </is>
      </c>
      <c r="C4" t="inlineStr">
        <is>
          <t>spillover</t>
        </is>
      </c>
      <c r="D4" s="3" t="inlineStr">
        <is>
          <t>임영웅, SBS와 손잡고 예능 복귀…컴백 효과 극대화 노리는 전략 보도</t>
        </is>
      </c>
      <c r="E4" t="inlineStr"/>
      <c r="F4" t="inlineStr">
        <is>
          <t>N</t>
        </is>
      </c>
      <c r="G4" t="inlineStr"/>
      <c r="H4" t="inlineStr"/>
      <c r="I4" t="inlineStr"/>
    </row>
    <row r="5">
      <c r="A5" t="n">
        <v>4</v>
      </c>
      <c r="B5" t="inlineStr">
        <is>
          <t>BTS</t>
        </is>
      </c>
      <c r="C5" t="inlineStr">
        <is>
          <t>loyalty</t>
        </is>
      </c>
      <c r="D5" s="3" t="inlineStr">
        <is>
          <t>월드투어 'ARIRANG'으로 브라질에서 3회 공연을 개최하며 티켓 판매 소식이 브라질 매체에 대대적으로 보도됨</t>
        </is>
      </c>
      <c r="E5" t="inlineStr"/>
      <c r="F5" t="inlineStr">
        <is>
          <t>N</t>
        </is>
      </c>
      <c r="G5" t="inlineStr"/>
      <c r="H5" t="inlineStr"/>
      <c r="I5" t="inlineStr"/>
    </row>
    <row r="6">
      <c r="A6" t="n">
        <v>5</v>
      </c>
      <c r="B6" t="inlineStr">
        <is>
          <t>박서진</t>
        </is>
      </c>
      <c r="C6" t="inlineStr">
        <is>
          <t>loyalty</t>
        </is>
      </c>
      <c r="D6" s="3" t="inlineStr">
        <is>
          <t>산불 기부로 닻별의 누적 기부액은 1억 2,800만 원을 기록하며 '착한팬클럽 골드' 등급을 재확인했다.</t>
        </is>
      </c>
      <c r="E6" t="inlineStr"/>
      <c r="F6" t="inlineStr">
        <is>
          <t>N</t>
        </is>
      </c>
      <c r="G6" t="inlineStr"/>
      <c r="H6" t="inlineStr"/>
      <c r="I6" t="inlineStr"/>
    </row>
    <row r="7">
      <c r="A7" t="n">
        <v>6</v>
      </c>
      <c r="B7" t="inlineStr">
        <is>
          <t>Hearts2Hearts</t>
        </is>
      </c>
      <c r="C7" t="inlineStr">
        <is>
          <t>spillover</t>
        </is>
      </c>
      <c r="D7" s="3" t="inlineStr">
        <is>
          <t>2025년 각종 시상식에서 신인상을 7회 수상했다.</t>
        </is>
      </c>
      <c r="E7" t="inlineStr"/>
      <c r="F7" t="inlineStr">
        <is>
          <t>N</t>
        </is>
      </c>
      <c r="G7" t="inlineStr"/>
      <c r="H7" t="inlineStr"/>
      <c r="I7" t="inlineStr"/>
    </row>
    <row r="8">
      <c r="A8" t="n">
        <v>7</v>
      </c>
      <c r="B8" t="inlineStr">
        <is>
          <t>ITZY</t>
        </is>
      </c>
      <c r="C8" t="inlineStr">
        <is>
          <t>spillover</t>
        </is>
      </c>
      <c r="D8" s="3" t="inlineStr">
        <is>
          <t>멕시코 매체 Bitácora CDMX가 있지가 2024년 4월 15일 멕시코시티 페시 센터 WTC에서 'BORN TO BE' 월드투어 공연을 연다고 보도했다.</t>
        </is>
      </c>
      <c r="E8" t="inlineStr"/>
      <c r="F8" t="inlineStr">
        <is>
          <t>N</t>
        </is>
      </c>
      <c r="G8" t="inlineStr"/>
      <c r="H8" t="inlineStr"/>
      <c r="I8" t="inlineStr"/>
    </row>
    <row r="9">
      <c r="A9" t="n">
        <v>8</v>
      </c>
      <c r="B9" t="inlineStr">
        <is>
          <t>동방신기</t>
        </is>
      </c>
      <c r="C9" t="inlineStr">
        <is>
          <t>spillover</t>
        </is>
      </c>
      <c r="D9" s="3" t="inlineStr">
        <is>
          <t>스페인 기반 케이팝 블로그 '바나나(BA NA NA)'가 동방신기의 컴백곡 'Love Line' 뮤직비디오를 리뷰하며, SM엔터테인먼트가 영상 속 세계지도에서 일본이 누락된 사실이 팬들에게 발견된 뒤 영상을 일시적으로 내렸다고 전했다.</t>
        </is>
      </c>
      <c r="E9" t="inlineStr"/>
      <c r="F9" t="inlineStr">
        <is>
          <t>N</t>
        </is>
      </c>
      <c r="G9" t="inlineStr"/>
      <c r="H9" t="inlineStr"/>
      <c r="I9" t="inlineStr"/>
    </row>
    <row r="10">
      <c r="A10" t="n">
        <v>9</v>
      </c>
      <c r="B10" t="inlineStr">
        <is>
          <t>마마무</t>
        </is>
      </c>
      <c r="C10" t="inlineStr">
        <is>
          <t>spillover</t>
        </is>
      </c>
      <c r="D10" s="3" t="inlineStr">
        <is>
          <t>MAMAMOO announced their 2026 "4WARD" world tour — 13 stops including Seoul (June 19-21), marking their first group comeback/tour in about 4 years, tied to their 12th debut anniversary.</t>
        </is>
      </c>
      <c r="E10" t="inlineStr"/>
      <c r="F10" t="inlineStr">
        <is>
          <t>N</t>
        </is>
      </c>
      <c r="G10" t="inlineStr"/>
      <c r="H10" t="inlineStr"/>
      <c r="I10" t="inlineStr"/>
    </row>
    <row r="11">
      <c r="A11" t="n">
        <v>10</v>
      </c>
      <c r="B11" t="inlineStr">
        <is>
          <t>NewJeans</t>
        </is>
      </c>
      <c r="C11" t="inlineStr">
        <is>
          <t>loyalty</t>
        </is>
      </c>
      <c r="D11" s="3" t="inlineStr">
        <is>
          <t>ADOR extended all Bunnies fan club memberships by 365 days automatically on March 25, 2026, framed as "appreciation for continued support" amid ongoing legal disputes involving member Danielle - fan reaction was mixed, with many demanding clarity on her status</t>
        </is>
      </c>
      <c r="E11" t="inlineStr"/>
      <c r="F11" t="inlineStr">
        <is>
          <t>N</t>
        </is>
      </c>
      <c r="G11" t="inlineStr"/>
      <c r="H11" t="inlineStr"/>
      <c r="I11" t="inlineStr"/>
    </row>
    <row r="12">
      <c r="A12" t="n">
        <v>11</v>
      </c>
      <c r="B12" t="inlineStr">
        <is>
          <t>빅마마</t>
        </is>
      </c>
      <c r="C12" t="inlineStr">
        <is>
          <t>loyalty</t>
        </is>
      </c>
      <c r="D12" s="3" t="inlineStr">
        <is>
          <t>멤버 이영현·신연아·이지영·박민혜는 2021년 6월 디지털 싱글로 9년 만에 완전체로 재결합했다.</t>
        </is>
      </c>
      <c r="E12" t="inlineStr"/>
      <c r="F12" t="inlineStr">
        <is>
          <t>N</t>
        </is>
      </c>
      <c r="G12" t="inlineStr"/>
      <c r="H12" t="inlineStr"/>
      <c r="I12" t="inlineStr"/>
    </row>
    <row r="13">
      <c r="A13" t="n">
        <v>12</v>
      </c>
      <c r="B13" t="inlineStr">
        <is>
          <t>GOT7</t>
        </is>
      </c>
      <c r="C13" t="inlineStr">
        <is>
          <t>spillover</t>
        </is>
      </c>
      <c r="D13" s="3" t="inlineStr">
        <is>
          <t>진영은 2019년 tvN 드라마 'He Is Psychometric'으로 첫 주연을 맡은 이후 'Yumi's Cells', 'The Witch', 'Our Unwritten Seoul' 등 다수의 드라마에서 연이어 주연을 맡으며 배우로서 입지를 다졌다.</t>
        </is>
      </c>
      <c r="E13" t="inlineStr"/>
      <c r="F13" t="inlineStr">
        <is>
          <t>N</t>
        </is>
      </c>
      <c r="G13" t="inlineStr"/>
      <c r="H13" t="inlineStr"/>
      <c r="I13" t="inlineStr"/>
    </row>
    <row r="14">
      <c r="A14" t="n">
        <v>13</v>
      </c>
      <c r="B14" t="inlineStr">
        <is>
          <t>10CM</t>
        </is>
      </c>
      <c r="C14" t="inlineStr">
        <is>
          <t>loyalty</t>
        </is>
      </c>
      <c r="D14" s="3" t="inlineStr">
        <is>
          <t>2020년 진행한 온라인 단독 공연 'Hotel room 1010'은 국내 비아이돌 아티스트 최초의 유료 온라인 콘서트로 기록되며 팬들의 결제 의향을 입증했다.</t>
        </is>
      </c>
      <c r="E14" t="inlineStr"/>
      <c r="F14" t="inlineStr">
        <is>
          <t>N</t>
        </is>
      </c>
      <c r="G14" t="inlineStr"/>
      <c r="H14" t="inlineStr"/>
      <c r="I14" t="inlineStr"/>
    </row>
    <row r="15">
      <c r="A15" t="n">
        <v>14</v>
      </c>
      <c r="B15" t="inlineStr">
        <is>
          <t>Stray Kids</t>
        </is>
      </c>
      <c r="C15" t="inlineStr">
        <is>
          <t>spillover</t>
        </is>
      </c>
      <c r="D15" s="3" t="inlineStr">
        <is>
          <t>La revista TIME eligió el tema "Back Door" como una de las mejores canciones de 2020, posicionándolos como una de las bandas más prometedores de la década.</t>
        </is>
      </c>
      <c r="E15" t="inlineStr"/>
      <c r="F15" t="inlineStr">
        <is>
          <t>N</t>
        </is>
      </c>
      <c r="G15" t="inlineStr"/>
      <c r="H15" t="inlineStr"/>
      <c r="I15" t="inlineStr"/>
    </row>
    <row r="16">
      <c r="A16" t="n">
        <v>15</v>
      </c>
      <c r="B16" t="inlineStr">
        <is>
          <t>10CM</t>
        </is>
      </c>
      <c r="C16" t="inlineStr">
        <is>
          <t>loyalty</t>
        </is>
      </c>
      <c r="D16" s="3" t="inlineStr">
        <is>
          <t>2013년 2월 23일 인디밴드 최초로 서울 올림픽공원 체조경기장에서 단독 공연을 열었다</t>
        </is>
      </c>
      <c r="E16" t="inlineStr"/>
      <c r="F16" t="inlineStr">
        <is>
          <t>N</t>
        </is>
      </c>
      <c r="G16" t="inlineStr"/>
      <c r="H16" t="inlineStr"/>
      <c r="I16" t="inlineStr"/>
    </row>
    <row r="17">
      <c r="A17" t="n">
        <v>16</v>
      </c>
      <c r="B17" t="inlineStr">
        <is>
          <t>잭스키스</t>
        </is>
      </c>
      <c r="C17" t="inlineStr">
        <is>
          <t>spillover</t>
        </is>
      </c>
      <c r="D17" s="3" t="inlineStr">
        <is>
          <t>Documentary "Sechskies Eighteen" (2018) ranked #1 in Korean seat sales for February 2018, selling 91.4% of available seats and topping 50,000 tickets sold by March 2018.</t>
        </is>
      </c>
      <c r="E17" t="inlineStr"/>
      <c r="F17" t="inlineStr">
        <is>
          <t>N</t>
        </is>
      </c>
      <c r="G17" t="inlineStr"/>
      <c r="H17" t="inlineStr"/>
      <c r="I17" t="inlineStr"/>
    </row>
    <row r="18">
      <c r="A18" t="n">
        <v>17</v>
      </c>
      <c r="B18" t="inlineStr">
        <is>
          <t>잔나비</t>
        </is>
      </c>
      <c r="C18" t="inlineStr">
        <is>
          <t>spillover</t>
        </is>
      </c>
      <c r="D18" s="3" t="inlineStr">
        <is>
          <t>잔나비는 2024년 8월 31일~9월 1일, 9월 7~8일 서울 잠실실내체육관에서 데뷔 10주년 기념 콘서트 '판타스틱 올드 패션드 2024: 무비 스타 라이징'을 60~70년대 흑백영화 콘셉트의 3시간 공연으로 총 4회 열었고, 관객 전원이 일어나 열광적으로 호응했다고 보도됐다.</t>
        </is>
      </c>
      <c r="E18" t="inlineStr"/>
      <c r="F18" t="inlineStr">
        <is>
          <t>N</t>
        </is>
      </c>
      <c r="G18" t="inlineStr"/>
      <c r="H18" t="inlineStr"/>
      <c r="I18" t="inlineStr"/>
    </row>
    <row r="19">
      <c r="A19" t="n">
        <v>18</v>
      </c>
      <c r="B19" t="inlineStr">
        <is>
          <t>카더가든</t>
        </is>
      </c>
      <c r="C19" t="inlineStr">
        <is>
          <t>spillover</t>
        </is>
      </c>
      <c r="D19" s="3" t="inlineStr">
        <is>
          <t>넷플릭스 &lt;모태솔로지만 연애는 하고 싶어&gt;, 쿠팡플레이 &lt;직장인들&gt;... 어느덧 카더가든은 예능 신성으로 부상했다. 섭외 경쟁이 치열할 수밖에 없는 이유다</t>
        </is>
      </c>
      <c r="E19" t="inlineStr"/>
      <c r="F19" t="inlineStr">
        <is>
          <t>N</t>
        </is>
      </c>
      <c r="G19" t="inlineStr"/>
      <c r="H19" t="inlineStr"/>
      <c r="I19" t="inlineStr"/>
    </row>
    <row r="20">
      <c r="A20" t="n">
        <v>19</v>
      </c>
      <c r="B20" t="inlineStr">
        <is>
          <t>EXO</t>
        </is>
      </c>
      <c r="C20" t="inlineStr">
        <is>
          <t>loyalty</t>
        </is>
      </c>
      <c r="D20" s="3" t="inlineStr">
        <is>
          <t>디오(D.O.)가 마닐라에서 2일간 단독 팬콘을 개최</t>
        </is>
      </c>
      <c r="E20" t="inlineStr"/>
      <c r="F20" t="inlineStr">
        <is>
          <t>N</t>
        </is>
      </c>
      <c r="G20" t="inlineStr"/>
      <c r="H20" t="inlineStr"/>
      <c r="I20" t="inlineStr"/>
    </row>
    <row r="21">
      <c r="A21" t="n">
        <v>20</v>
      </c>
      <c r="B21" t="inlineStr">
        <is>
          <t>보아</t>
        </is>
      </c>
      <c r="C21" t="inlineStr">
        <is>
          <t>loyalty</t>
        </is>
      </c>
      <c r="D21" s="3" t="inlineStr">
        <is>
          <t>아랍어 K-pop 팬사이트 MyKpopMania 아랍어판의 보아 프로필 문서에서 본명(권보아), 생년월일(1986.11.5), 2000년 8월 25일 데뷔, 일본 활동 경력, 팬덤명(한국 '보아점프'·일본 '영혼')과 팬덤 색상까지 아랍어로 서술되어 있음을 WebFetch로 직접 확인함.</t>
        </is>
      </c>
      <c r="E21" t="inlineStr"/>
      <c r="F21" t="inlineStr">
        <is>
          <t>N</t>
        </is>
      </c>
      <c r="G21" t="inlineStr"/>
      <c r="H21" t="inlineStr"/>
      <c r="I21" t="inlineStr"/>
    </row>
    <row r="22">
      <c r="A22" t="n">
        <v>21</v>
      </c>
      <c r="B22" t="inlineStr">
        <is>
          <t>김연자</t>
        </is>
      </c>
      <c r="C22" t="inlineStr">
        <is>
          <t>spillover</t>
        </is>
      </c>
      <c r="D22" s="3" t="inlineStr">
        <is>
          <t>김정일의 초청으로 북한에서 공연하며 노래가 문화적 상징으로 자리잡았으나 2024년 김정은 체제에서 금지곡이 됐다는 점에서 이례적인 정치적 파급력을 보여준다</t>
        </is>
      </c>
      <c r="E22" t="inlineStr"/>
      <c r="F22" t="inlineStr">
        <is>
          <t>N</t>
        </is>
      </c>
      <c r="G22" t="inlineStr"/>
      <c r="H22" t="inlineStr"/>
      <c r="I22" t="inlineStr"/>
    </row>
    <row r="23">
      <c r="A23" t="n">
        <v>22</v>
      </c>
      <c r="B23" t="inlineStr">
        <is>
          <t>DAY6</t>
        </is>
      </c>
      <c r="C23" t="inlineStr">
        <is>
          <t>loyalty</t>
        </is>
      </c>
      <c r="D23" s="3" t="inlineStr">
        <is>
          <t>DAY6 will hold their 5th official domestic fan meeting Oct 23–25, 2026 with fan club My Day; their 4th fan meeting (July 2025) saw all six performances sell out during fan-club presale at Seoul's Jamsil Indoor Gymnasium, and the band has held official fan meetings for three consecutive years since 2024 despite members' military service</t>
        </is>
      </c>
      <c r="E23" t="inlineStr"/>
      <c r="F23" t="inlineStr">
        <is>
          <t>N</t>
        </is>
      </c>
      <c r="G23" t="inlineStr"/>
      <c r="H23" t="inlineStr"/>
      <c r="I23" t="inlineStr"/>
    </row>
    <row r="24">
      <c r="A24" t="n">
        <v>23</v>
      </c>
      <c r="B24" t="inlineStr">
        <is>
          <t>엔믹스</t>
        </is>
      </c>
      <c r="C24" t="inlineStr">
        <is>
          <t>spillover</t>
        </is>
      </c>
      <c r="D24" s="3" t="inlineStr">
        <is>
          <t>같은 투어에서 캐나다 토론토, 뉴욕 브루클린, 메릴랜드, 텍사스 어빙, 캘리포니아 오클랜드·로스앤젤레스 등 북미 6개 도시 공연이 확정되며 빌보드가 이를 별도 인터뷰 기사로 다뤘다</t>
        </is>
      </c>
      <c r="E24" t="inlineStr"/>
      <c r="F24" t="inlineStr">
        <is>
          <t>N</t>
        </is>
      </c>
      <c r="G24" t="inlineStr"/>
      <c r="H24" t="inlineStr"/>
      <c r="I24" t="inlineStr"/>
    </row>
    <row r="25">
      <c r="A25" t="n">
        <v>24</v>
      </c>
      <c r="B25" t="inlineStr">
        <is>
          <t>보아</t>
        </is>
      </c>
      <c r="C25" t="inlineStr">
        <is>
          <t>spillover</t>
        </is>
      </c>
      <c r="D25" s="3" t="inlineStr">
        <is>
          <t>보아는 2016년 JTBC 드라마 '이번주 아내가 바람을 핍니다'에 출연했다.</t>
        </is>
      </c>
      <c r="E25" t="inlineStr"/>
      <c r="F25" t="inlineStr">
        <is>
          <t>N</t>
        </is>
      </c>
      <c r="G25" t="inlineStr"/>
      <c r="H25" t="inlineStr"/>
      <c r="I25" t="inlineStr"/>
    </row>
    <row r="26">
      <c r="A26" t="n">
        <v>25</v>
      </c>
      <c r="B26" t="inlineStr">
        <is>
          <t>FTISLAND</t>
        </is>
      </c>
      <c r="C26" t="inlineStr">
        <is>
          <t>loyalty</t>
        </is>
      </c>
      <c r="D26" s="3" t="inlineStr">
        <is>
          <t>태국 kapook.com은 FTISLAND의 2026년 8월 8일 방콕 콘서트('2026 FTISLAND TOUR 0—XIX—III FaTe in BANGKOK', MCC Hall) 소식과 함께 공식 팬클럽명이 '프리마돈나(Primadonna)'임을 명시하며 팬들의 기대감을 전했다</t>
        </is>
      </c>
      <c r="E26" t="inlineStr"/>
      <c r="F26" t="inlineStr">
        <is>
          <t>N</t>
        </is>
      </c>
      <c r="G26" t="inlineStr"/>
      <c r="H26" t="inlineStr"/>
      <c r="I26" t="inlineStr"/>
    </row>
    <row r="27">
      <c r="A27" t="n">
        <v>26</v>
      </c>
      <c r="B27" t="inlineStr">
        <is>
          <t>QWER</t>
        </is>
      </c>
      <c r="C27" t="inlineStr">
        <is>
          <t>spillover</t>
        </is>
      </c>
      <c r="D27" s="3" t="inlineStr">
        <is>
          <t>ETtoday는 QWER이 반년 사이 네 번째로 대만을 찾았다며 "台灣像是第二個家"라는 멤버 발언을 제목으로 보도했다.</t>
        </is>
      </c>
      <c r="E27" t="inlineStr"/>
      <c r="F27" t="inlineStr">
        <is>
          <t>N</t>
        </is>
      </c>
      <c r="G27" t="inlineStr"/>
      <c r="H27" t="inlineStr"/>
      <c r="I27" t="inlineStr"/>
    </row>
    <row r="28">
      <c r="A28" t="n">
        <v>27</v>
      </c>
      <c r="B28" t="inlineStr">
        <is>
          <t>슈퍼주니어</t>
        </is>
      </c>
      <c r="C28" t="inlineStr">
        <is>
          <t>loyalty</t>
        </is>
      </c>
      <c r="D28" s="3" t="inlineStr">
        <is>
          <t>중국 163.com이 한경(韓庚)의 2024년 인터뷰를 인용해 SM엔터테인먼트 탈퇴 전후 슈퍼주니어 멤버들과의 관계를 보도했다. 김희철은 한경의 소송이 이후 SM의 외국인 아티스트 대우 개선으로 이어져 후속 중국인 멤버들에게 도움이 되었다고 인정했으며, 한경은 당시를 "한때 극단적 선택을 생각할 정도로 우울했다"고 회고했다.</t>
        </is>
      </c>
      <c r="E28" t="inlineStr"/>
      <c r="F28" t="inlineStr">
        <is>
          <t>N</t>
        </is>
      </c>
      <c r="G28" t="inlineStr"/>
      <c r="H28" t="inlineStr"/>
      <c r="I28" t="inlineStr"/>
    </row>
    <row r="29">
      <c r="A29" t="n">
        <v>28</v>
      </c>
      <c r="B29" t="inlineStr">
        <is>
          <t>조용필</t>
        </is>
      </c>
      <c r="C29" t="inlineStr">
        <is>
          <t>loyalty</t>
        </is>
      </c>
      <c r="D29" s="3" t="inlineStr">
        <is>
          <t>조용필은 2009년 경기도 화성시 전곡항 국제보트쇼 개막식에서 개런티 없이 무료 축하공연을 하며 고향에 대한 애정을 보였다.</t>
        </is>
      </c>
      <c r="E29" t="inlineStr"/>
      <c r="F29" t="inlineStr">
        <is>
          <t>N</t>
        </is>
      </c>
      <c r="G29" t="inlineStr"/>
      <c r="H29" t="inlineStr"/>
      <c r="I29" t="inlineStr"/>
    </row>
    <row r="30">
      <c r="A30" t="n">
        <v>29</v>
      </c>
      <c r="B30" t="inlineStr">
        <is>
          <t>마마무</t>
        </is>
      </c>
      <c r="C30" t="inlineStr">
        <is>
          <t>spillover</t>
        </is>
      </c>
      <c r="D30" s="3" t="inlineStr">
        <is>
          <t>멜론에서 역대 K-pop 걸그룹 중 유일하게 총 감상자 수 1억 명을 넘겨 1위를 기록했다</t>
        </is>
      </c>
      <c r="E30" t="inlineStr"/>
      <c r="F30" t="inlineStr">
        <is>
          <t>N</t>
        </is>
      </c>
      <c r="G30" t="inlineStr"/>
      <c r="H30" t="inlineStr"/>
      <c r="I30" t="inlineStr"/>
    </row>
    <row r="31">
      <c r="A31" t="n">
        <v>30</v>
      </c>
      <c r="B31" t="inlineStr">
        <is>
          <t>소녀시대</t>
        </is>
      </c>
      <c r="C31" t="inlineStr">
        <is>
          <t>loyalty</t>
        </is>
      </c>
      <c r="D31" s="3" t="inlineStr">
        <is>
          <t>Natalie reported that Taeyeon's Seoul solo concert was simulcast via live-viewing screenings in movie theaters nationwide across Japan for Japanese fans</t>
        </is>
      </c>
      <c r="E31" t="inlineStr"/>
      <c r="F31" t="inlineStr">
        <is>
          <t>N</t>
        </is>
      </c>
      <c r="G31" t="inlineStr"/>
      <c r="H31" t="inlineStr"/>
      <c r="I31" t="inlineStr"/>
    </row>
    <row r="32">
      <c r="A32" t="n">
        <v>31</v>
      </c>
      <c r="B32" t="inlineStr">
        <is>
          <t>몬스타엑스</t>
        </is>
      </c>
      <c r="C32" t="inlineStr">
        <is>
          <t>loyalty</t>
        </is>
      </c>
      <c r="D32" s="3" t="inlineStr">
        <is>
          <t>2020년 3월 몬스타엑스가 코로나19 취약계층 지원을 위해 굿네이버스를 통해 대구·경북 지역에 1억 원을 기부하자, 이 소식을 알게 된 몬베베 팬덤도 자발적으로 추가 기부에 동참했다.</t>
        </is>
      </c>
      <c r="E32" t="inlineStr"/>
      <c r="F32" t="inlineStr">
        <is>
          <t>N</t>
        </is>
      </c>
      <c r="G32" t="inlineStr"/>
      <c r="H32" t="inlineStr"/>
      <c r="I32" t="inlineStr"/>
    </row>
    <row r="33">
      <c r="A33" t="n">
        <v>32</v>
      </c>
      <c r="B33" t="inlineStr">
        <is>
          <t>BTS</t>
        </is>
      </c>
      <c r="C33" t="inlineStr">
        <is>
          <t>spillover</t>
        </is>
      </c>
      <c r="D33" s="3" t="inlineStr">
        <is>
          <t>이른바 'BTS노믹스'로 이번 컴백에 따른 경제적 파급효과가 3조원에 이를 것으로 전망됐다.</t>
        </is>
      </c>
      <c r="E33" t="inlineStr"/>
      <c r="F33" t="inlineStr">
        <is>
          <t>N</t>
        </is>
      </c>
      <c r="G33" t="inlineStr"/>
      <c r="H33" t="inlineStr"/>
      <c r="I33" t="inlineStr"/>
    </row>
    <row r="34">
      <c r="A34" t="n">
        <v>33</v>
      </c>
      <c r="B34" t="inlineStr">
        <is>
          <t>장윤정</t>
        </is>
      </c>
      <c r="C34" t="inlineStr">
        <is>
          <t>loyalty</t>
        </is>
      </c>
      <c r="D34" s="3" t="inlineStr">
        <is>
          <t>2025~2026년에도 안양·성남 등 전국 각지에서 콘서트 'THE MASTER' 투어를 이어가며 20년 넘게 활동을 지속하고 있다.</t>
        </is>
      </c>
      <c r="E34" t="inlineStr"/>
      <c r="F34" t="inlineStr">
        <is>
          <t>N</t>
        </is>
      </c>
      <c r="G34" t="inlineStr"/>
      <c r="H34" t="inlineStr"/>
      <c r="I34" t="inlineStr"/>
    </row>
    <row r="35">
      <c r="A35" t="n">
        <v>34</v>
      </c>
      <c r="B35" t="inlineStr">
        <is>
          <t>지코</t>
        </is>
      </c>
      <c r="C35" t="inlineStr">
        <is>
          <t>spillover</t>
        </is>
      </c>
      <c r="D35" s="3" t="inlineStr">
        <is>
          <t>'아무노래' 스포티파이 누적 스트리밍 2억 회 돌파, 개인 통산 두 번째 2억 스트리밍 곡</t>
        </is>
      </c>
      <c r="E35" t="inlineStr"/>
      <c r="F35" t="inlineStr">
        <is>
          <t>N</t>
        </is>
      </c>
      <c r="G35" t="inlineStr"/>
      <c r="H35" t="inlineStr"/>
      <c r="I35" t="inlineStr"/>
    </row>
    <row r="36">
      <c r="A36" t="n">
        <v>35</v>
      </c>
      <c r="B36" t="inlineStr">
        <is>
          <t>잭스키스</t>
        </is>
      </c>
      <c r="C36" t="inlineStr">
        <is>
          <t>loyalty</t>
        </is>
      </c>
      <c r="D36" s="3" t="inlineStr">
        <is>
          <t>젝스키스 팬클럽이 멤버 김재덕의 고향인 부산광역시 사하구 감천동 주민들에게 선풍기 30대를 선물했다.</t>
        </is>
      </c>
      <c r="E36" t="inlineStr"/>
      <c r="F36" t="inlineStr">
        <is>
          <t>N</t>
        </is>
      </c>
      <c r="G36" t="inlineStr"/>
      <c r="H36" t="inlineStr"/>
      <c r="I36" t="inlineStr"/>
    </row>
    <row r="37">
      <c r="A37" t="n">
        <v>36</v>
      </c>
      <c r="B37" t="inlineStr">
        <is>
          <t>TWICE</t>
        </is>
      </c>
      <c r="C37" t="inlineStr">
        <is>
          <t>spillover</t>
        </is>
      </c>
      <c r="D37" s="3" t="inlineStr">
        <is>
          <t>TWICE의 소속사 JYP엔터테인먼트가 미국·일본·중국에 이어 인도를 네 번째 해외 거점으로 삼아 현지 사무소 개설을 준비 중이라고 Pinkvilla가 보도했다.</t>
        </is>
      </c>
      <c r="E37" t="inlineStr"/>
      <c r="F37" t="inlineStr">
        <is>
          <t>N</t>
        </is>
      </c>
      <c r="G37" t="inlineStr"/>
      <c r="H37" t="inlineStr"/>
      <c r="I37" t="inlineStr"/>
    </row>
    <row r="38">
      <c r="A38" t="n">
        <v>37</v>
      </c>
      <c r="B38" t="inlineStr">
        <is>
          <t>이영지</t>
        </is>
      </c>
      <c r="C38" t="inlineStr">
        <is>
          <t>loyalty</t>
        </is>
      </c>
      <c r="D38" s="3" t="inlineStr">
        <is>
          <t>2025.3 대한적십자사를 통해 울산·경북·경남 산불 피해 복구 성금 1억원 기부</t>
        </is>
      </c>
      <c r="E38" t="inlineStr"/>
      <c r="F38" t="inlineStr">
        <is>
          <t>N</t>
        </is>
      </c>
      <c r="G38" t="inlineStr"/>
      <c r="H38" t="inlineStr"/>
      <c r="I38" t="inlineStr"/>
    </row>
    <row r="39">
      <c r="A39" t="n">
        <v>38</v>
      </c>
      <c r="B39" t="inlineStr">
        <is>
          <t>워너원</t>
        </is>
      </c>
      <c r="C39" t="inlineStr">
        <is>
          <t>spillover</t>
        </is>
      </c>
      <c r="D39" s="3" t="inlineStr">
        <is>
          <t>워너원 출신 라이관린, 연기자 됐다···중국 드라마 출연. 그룹 '워너원' 출신 라이관린(18)이 연기 활동을 병행한다. 소속사 큐브 엔터테인먼트에 따르면 라이관린은 중국 드라마 '초연나건소사(初戀那件小事)' 출연을 확정했다.</t>
        </is>
      </c>
      <c r="E39" t="inlineStr"/>
      <c r="F39" t="inlineStr">
        <is>
          <t>N</t>
        </is>
      </c>
      <c r="G39" t="inlineStr"/>
      <c r="H39" t="inlineStr"/>
      <c r="I39" t="inlineStr"/>
    </row>
    <row r="40">
      <c r="A40" s="4" t="n">
        <v>39</v>
      </c>
      <c r="B40" s="4" t="inlineStr">
        <is>
          <t>DAY6</t>
        </is>
      </c>
      <c r="C40" s="4" t="inlineStr">
        <is>
          <t>spillover</t>
        </is>
      </c>
      <c r="D40" s="5" t="inlineStr">
        <is>
          <t>DAY6 was named the new brand ambassador for British sports brand Umbro's "STAND BY ME" campaign (Feb 4, 2025), with a co-created HBL apparel collection sold at Umbro stores nationwide and online</t>
        </is>
      </c>
      <c r="E40" s="4" t="inlineStr"/>
      <c r="F40" s="4" t="inlineStr">
        <is>
          <t>Y</t>
        </is>
      </c>
      <c r="G40" s="4" t="inlineStr">
        <is>
          <t>brand ambassador / campaign (영문)</t>
        </is>
      </c>
      <c r="H40" s="4" t="inlineStr"/>
      <c r="I40" s="4" t="inlineStr"/>
    </row>
    <row r="41">
      <c r="A41" t="n">
        <v>40</v>
      </c>
      <c r="B41" t="inlineStr">
        <is>
          <t>윤도현</t>
        </is>
      </c>
      <c r="C41" t="inlineStr">
        <is>
          <t>loyalty</t>
        </is>
      </c>
      <c r="D41" s="3" t="inlineStr">
        <is>
          <t>YB 명의로 2025년 2월 EP 'Odyssey'와 싱글 'Rebellion(feat. Xdinary Heroes)'을 연이어 발매하며 세대를 넘나드는 협업으로 팬덤과의 접점을 이어감</t>
        </is>
      </c>
      <c r="E41" t="inlineStr">
        <is>
          <t>협업</t>
        </is>
      </c>
      <c r="F41" t="inlineStr">
        <is>
          <t>N</t>
        </is>
      </c>
      <c r="G41" t="inlineStr"/>
      <c r="H41" t="inlineStr"/>
      <c r="I41" t="inlineStr"/>
    </row>
    <row r="42">
      <c r="A42" t="n">
        <v>41</v>
      </c>
      <c r="B42" t="inlineStr">
        <is>
          <t>ATEEZ</t>
        </is>
      </c>
      <c r="C42" t="inlineStr">
        <is>
          <t>loyalty</t>
        </is>
      </c>
      <c r="D42" s="3" t="inlineStr">
        <is>
          <t>2026년 3월 마닐라 콘서트를 '판타지'로 표현하며 팬들과 공유했다고 현지 매체가 보도</t>
        </is>
      </c>
      <c r="E42" t="inlineStr"/>
      <c r="F42" t="inlineStr">
        <is>
          <t>N</t>
        </is>
      </c>
      <c r="G42" t="inlineStr"/>
      <c r="H42" t="inlineStr"/>
      <c r="I42" t="inlineStr"/>
    </row>
    <row r="43">
      <c r="A43" t="n">
        <v>42</v>
      </c>
      <c r="B43" t="inlineStr">
        <is>
          <t>장윤정</t>
        </is>
      </c>
      <c r="C43" t="inlineStr">
        <is>
          <t>loyalty</t>
        </is>
      </c>
      <c r="D43" s="3" t="inlineStr">
        <is>
          <t>위 콘서트 현장 기사에서 퇴장하는 관객들이 '돈이 아깝지 않다', '정말 재밌다'는 반응을 보였고 공연 후 포토존에 긴 대기 줄이 이어졌다고 전했다.</t>
        </is>
      </c>
      <c r="E43" t="inlineStr"/>
      <c r="F43" t="inlineStr">
        <is>
          <t>N</t>
        </is>
      </c>
      <c r="G43" t="inlineStr"/>
      <c r="H43" t="inlineStr"/>
      <c r="I43" t="inlineStr"/>
    </row>
    <row r="44">
      <c r="A44" t="n">
        <v>43</v>
      </c>
      <c r="B44" t="inlineStr">
        <is>
          <t>린</t>
        </is>
      </c>
      <c r="C44" t="inlineStr">
        <is>
          <t>spillover</t>
        </is>
      </c>
      <c r="D44" s="3" t="inlineStr">
        <is>
          <t>"Back in Time" (2012) reached #1 on the weekly Gaon Digital Chart and sold over 3 million copies; "LOVE" (2018) sold 6,536,156 downloads; "My Destiny" (2013, My Love from the Star OST) sold 1,074,581 downloads and won Best OST at the 50th Baeksang Arts Awards (2014) — noted as the first artist to win that category</t>
        </is>
      </c>
      <c r="E44" t="inlineStr"/>
      <c r="F44" t="inlineStr">
        <is>
          <t>N</t>
        </is>
      </c>
      <c r="G44" t="inlineStr"/>
      <c r="H44" t="inlineStr"/>
      <c r="I44" t="inlineStr"/>
    </row>
    <row r="45">
      <c r="A45" t="n">
        <v>44</v>
      </c>
      <c r="B45" t="inlineStr">
        <is>
          <t>다비치</t>
        </is>
      </c>
      <c r="C45" t="inlineStr">
        <is>
          <t>loyalty</t>
        </is>
      </c>
      <c r="D45" s="3" t="inlineStr">
        <is>
          <t>"Just the Two of Us"가 2013년 3월 엠카운트다운을 포함해 통산 15번째 음악방송 1위를 달성했다</t>
        </is>
      </c>
      <c r="E45" t="inlineStr"/>
      <c r="F45" t="inlineStr">
        <is>
          <t>N</t>
        </is>
      </c>
      <c r="G45" t="inlineStr"/>
      <c r="H45" t="inlineStr"/>
      <c r="I45" t="inlineStr"/>
    </row>
    <row r="46">
      <c r="A46" t="n">
        <v>45</v>
      </c>
      <c r="B46" t="inlineStr">
        <is>
          <t>브라운아이즈</t>
        </is>
      </c>
      <c r="C46" t="inlineStr">
        <is>
          <t>spillover</t>
        </is>
      </c>
      <c r="D46" s="3" t="inlineStr">
        <is>
          <t>2001년 제3회 엠넷 뮤직비디오 페스티벌에서 '벌써 일년'으로 신인그룹상을 수상했다.</t>
        </is>
      </c>
      <c r="E46" t="inlineStr"/>
      <c r="F46" t="inlineStr">
        <is>
          <t>N</t>
        </is>
      </c>
      <c r="G46" t="inlineStr"/>
      <c r="H46" t="inlineStr"/>
      <c r="I46" t="inlineStr"/>
    </row>
    <row r="47">
      <c r="A47" t="n">
        <v>46</v>
      </c>
      <c r="B47" t="inlineStr">
        <is>
          <t>10CM</t>
        </is>
      </c>
      <c r="C47" t="inlineStr">
        <is>
          <t>spillover</t>
        </is>
      </c>
      <c r="D47" s="3" t="inlineStr">
        <is>
          <t>10CM의 1집 《1.0》은 발매 후 1주일 만에 판매량 1만 장을 돌파했다</t>
        </is>
      </c>
      <c r="E47" t="inlineStr"/>
      <c r="F47" t="inlineStr">
        <is>
          <t>N</t>
        </is>
      </c>
      <c r="G47" t="inlineStr"/>
      <c r="H47" t="inlineStr"/>
      <c r="I47" t="inlineStr"/>
    </row>
    <row r="48">
      <c r="A48" t="n">
        <v>47</v>
      </c>
      <c r="B48" t="inlineStr">
        <is>
          <t>오마이걸</t>
        </is>
      </c>
      <c r="C48" t="inlineStr">
        <is>
          <t>loyalty</t>
        </is>
      </c>
      <c r="D48" s="3" t="inlineStr">
        <is>
          <t>WM엔터테인먼트가 오마이걸 완전체 컴백을 2026년 상반기로 연기하면서, 원래 2027년 3월 18일까지였던 공식 팬클럽 '미라클' 6기 멤버십의 활동 기간을 연장 운영하기로 결정했다고 공식 발표함</t>
        </is>
      </c>
      <c r="E48" t="inlineStr"/>
      <c r="F48" t="inlineStr">
        <is>
          <t>N</t>
        </is>
      </c>
      <c r="G48" t="inlineStr"/>
      <c r="H48" t="inlineStr"/>
      <c r="I48" t="inlineStr"/>
    </row>
    <row r="49">
      <c r="A49" t="n">
        <v>48</v>
      </c>
      <c r="B49" t="inlineStr">
        <is>
          <t>HOT</t>
        </is>
      </c>
      <c r="C49" t="inlineStr">
        <is>
          <t>spillover</t>
        </is>
      </c>
      <c r="D49" s="3" t="inlineStr">
        <is>
          <t>2025년 11월 한터 뮤직 페스티벌에서 H.O.T.는 2AM, 틴탑, 마마무 쏠라, 오마이걸, 프로미스나인, 트리플에스 등 후배 가수들과 함께 무대에 올랐다.</t>
        </is>
      </c>
      <c r="E49" t="inlineStr"/>
      <c r="F49" t="inlineStr">
        <is>
          <t>N</t>
        </is>
      </c>
      <c r="G49" t="inlineStr"/>
      <c r="H49" t="inlineStr"/>
      <c r="I49" t="inlineStr"/>
    </row>
    <row r="50">
      <c r="A50" t="n">
        <v>49</v>
      </c>
      <c r="B50" t="inlineStr">
        <is>
          <t>나훈아</t>
        </is>
      </c>
      <c r="C50" t="inlineStr">
        <is>
          <t>spillover</t>
        </is>
      </c>
      <c r="D50" s="3" t="inlineStr">
        <is>
          <t>대만 매체 The News Lens(關鍵評論網)가 나훈아를 "당대의 가왕(歌王)", "가요계의 살아있는 전설"로 소개하는 인물 기사를 게재했다. 기사는 2003년 삼성 이건희 회장의 생일 행사 초청을 그가 거절하며 "나는 대중 가수이다. 그러므로 티켓을 구매한 관객 앞에서만 공연하겠다"고 말한 일화를 전했다.</t>
        </is>
      </c>
      <c r="E50" t="inlineStr"/>
      <c r="F50" t="inlineStr">
        <is>
          <t>N</t>
        </is>
      </c>
      <c r="G50" t="inlineStr"/>
      <c r="H50" t="inlineStr"/>
      <c r="I50" t="inlineStr"/>
    </row>
    <row r="51">
      <c r="A51" t="n">
        <v>50</v>
      </c>
      <c r="B51" t="inlineStr">
        <is>
          <t>샤이니</t>
        </is>
      </c>
      <c r="C51" t="inlineStr">
        <is>
          <t>loyalty</t>
        </is>
      </c>
      <c r="D51" s="3" t="inlineStr">
        <is>
          <t>WOWOW가 SHINee 일본 데뷔 15주년 및 일본 공연 독점 생중계를 특집으로 편성했다는 보도</t>
        </is>
      </c>
      <c r="E51" t="inlineStr"/>
      <c r="F51" t="inlineStr">
        <is>
          <t>N</t>
        </is>
      </c>
      <c r="G51" t="inlineStr"/>
      <c r="H51" t="inlineStr"/>
      <c r="I51" t="inlineStr"/>
    </row>
    <row r="52">
      <c r="A52" t="n">
        <v>51</v>
      </c>
      <c r="B52" t="inlineStr">
        <is>
          <t>김재중</t>
        </is>
      </c>
      <c r="C52" t="inlineStr">
        <is>
          <t>loyalty</t>
        </is>
      </c>
      <c r="D52" s="3" t="inlineStr">
        <is>
          <t>2026년 8월 29~30일 서울 KBS아레나에서 열린 단독 콘서트 '2026 KIM JAE JOONG CONCERT [THE WAVE]'는 한국에서 그의 첫 스탠딩 공연 형태로 진행됐으며, 앙코르에서는 2006년 발표곡 'To the Boy'를 국내 최초로 라이브 공연해 팬들이 처음부터 끝까지 적극적으로 호응했다.</t>
        </is>
      </c>
      <c r="E52" t="inlineStr"/>
      <c r="F52" t="inlineStr">
        <is>
          <t>N</t>
        </is>
      </c>
      <c r="G52" t="inlineStr"/>
      <c r="H52" t="inlineStr"/>
      <c r="I52" t="inlineStr"/>
    </row>
    <row r="53">
      <c r="A53" t="n">
        <v>52</v>
      </c>
      <c r="B53" t="inlineStr">
        <is>
          <t>워너원</t>
        </is>
      </c>
      <c r="C53" t="inlineStr">
        <is>
          <t>loyalty</t>
        </is>
      </c>
      <c r="D53" s="3" t="inlineStr">
        <is>
          <t>2026년 1월~4월, 해체 7년 만에 Mnet 리얼리티쇼 "워너원 고: 백 투 베이스"를 통해 재결합을 성사시켰으며, 팬들을 향한 자필 편지 공개 등으로 팬덤 재결집을 이끌었다</t>
        </is>
      </c>
      <c r="E53" t="inlineStr"/>
      <c r="F53" t="inlineStr">
        <is>
          <t>N</t>
        </is>
      </c>
      <c r="G53" t="inlineStr"/>
      <c r="H53" t="inlineStr"/>
      <c r="I53" t="inlineStr"/>
    </row>
    <row r="54">
      <c r="A54" t="n">
        <v>53</v>
      </c>
      <c r="B54" t="inlineStr">
        <is>
          <t>아이유</t>
        </is>
      </c>
      <c r="C54" t="inlineStr">
        <is>
          <t>loyalty</t>
        </is>
      </c>
      <c r="D54" s="3" t="inlineStr">
        <is>
          <t>2022년 콘서트 'The Golden Hour: Orange Sun Below' 일반 예매 대기열이 44만 명에 달해 2019년 'Love, Poem'(13만 명) 대비 크게 증가했으며, 2023년 팬콘서트 'I+UN1VER5E'는 이틀 공연이 선예매만으로 각각 10분 만에 매진됐다</t>
        </is>
      </c>
      <c r="E54" t="inlineStr"/>
      <c r="F54" t="inlineStr">
        <is>
          <t>N</t>
        </is>
      </c>
      <c r="G54" t="inlineStr"/>
      <c r="H54" t="inlineStr"/>
      <c r="I54" t="inlineStr"/>
    </row>
    <row r="55">
      <c r="A55" t="n">
        <v>54</v>
      </c>
      <c r="B55" t="inlineStr">
        <is>
          <t>동방신기</t>
        </is>
      </c>
      <c r="C55" t="inlineStr">
        <is>
          <t>spillover</t>
        </is>
      </c>
      <c r="D55" s="3" t="inlineStr">
        <is>
          <t>인도네시아 매체 detikcom은 SM엔터테인먼트 창립 30주년 기념 리메이크 프로젝트에서 후배 그룹 RIIZE가 동방신기의 'Hug'를 커버한다고 전하며, 2025년 1월 SMTOWN LIVE 고척스카이돔 라인업에 동방신기가 포함됐다고 보도했다</t>
        </is>
      </c>
      <c r="E55" t="inlineStr"/>
      <c r="F55" t="inlineStr">
        <is>
          <t>N</t>
        </is>
      </c>
      <c r="G55" t="inlineStr"/>
      <c r="H55" t="inlineStr"/>
      <c r="I55" t="inlineStr"/>
    </row>
    <row r="56">
      <c r="A56" t="n">
        <v>55</v>
      </c>
      <c r="B56" t="inlineStr">
        <is>
          <t>NCT</t>
        </is>
      </c>
      <c r="C56" t="inlineStr">
        <is>
          <t>loyalty</t>
        </is>
      </c>
      <c r="D56" s="3" t="inlineStr">
        <is>
          <t>오리콘이 NCT 유타의 남미 콘서트 회상 인터뷰("속옷 같은 게 날아온다")를 보도했다</t>
        </is>
      </c>
      <c r="E56" t="inlineStr"/>
      <c r="F56" t="inlineStr">
        <is>
          <t>N</t>
        </is>
      </c>
      <c r="G56" t="inlineStr"/>
      <c r="H56" t="inlineStr"/>
      <c r="I56" t="inlineStr"/>
    </row>
    <row r="57">
      <c r="A57" t="n">
        <v>56</v>
      </c>
      <c r="B57" t="inlineStr">
        <is>
          <t>청하</t>
        </is>
      </c>
      <c r="C57" t="inlineStr">
        <is>
          <t>spillover</t>
        </is>
      </c>
      <c r="D57" s="3" t="inlineStr">
        <is>
          <t>나무위키에 따르면 청하는 2019년 2월 개설된 이전 개인 유튜브 채널(구독자 약 138만명, 총 조회수 약 3.05억회)을 소속사 계약 만료 후 정리하고, 2023년 10월 새 개인 채널을 개설해 뮤직비디오·비하인드 콘텐츠 등을 공개하며 구독자 약 35.6만명, 총 조회수 약 5.29억회를 기록 중이다.</t>
        </is>
      </c>
      <c r="E57" t="inlineStr"/>
      <c r="F57" t="inlineStr">
        <is>
          <t>N</t>
        </is>
      </c>
      <c r="G57" t="inlineStr"/>
      <c r="H57" t="inlineStr"/>
      <c r="I57" t="inlineStr"/>
    </row>
    <row r="58">
      <c r="A58" t="n">
        <v>57</v>
      </c>
      <c r="B58" t="inlineStr">
        <is>
          <t>DAY6</t>
        </is>
      </c>
      <c r="C58" t="inlineStr">
        <is>
          <t>loyalty</t>
        </is>
      </c>
      <c r="D58" s="3" t="inlineStr">
        <is>
          <t>데이식스는 2019년 1월 27일 첫 월드투어의 일환으로 파리 카지노 드 파리에서 공연했으며, 프랑스 팬덤 '마이데이'가 공연장을 가득 채우고 2시간 내내 열띤 호응을 보였다.</t>
        </is>
      </c>
      <c r="E58" t="inlineStr"/>
      <c r="F58" t="inlineStr">
        <is>
          <t>N</t>
        </is>
      </c>
      <c r="G58" t="inlineStr"/>
      <c r="H58" t="inlineStr"/>
      <c r="I58" t="inlineStr"/>
    </row>
    <row r="59">
      <c r="A59" t="n">
        <v>58</v>
      </c>
      <c r="B59" t="inlineStr">
        <is>
          <t>김동률</t>
        </is>
      </c>
      <c r="C59" t="inlineStr">
        <is>
          <t>spillover</t>
        </is>
      </c>
      <c r="D59" s="3" t="inlineStr">
        <is>
          <t>allkpop은 김동률이 3년여 만에 발표한 신곡 '리플라이(Reply)' 뮤직비디오에 배우 현빈이 주연으로 출연했다고 영어로 보도했다.</t>
        </is>
      </c>
      <c r="E59" t="inlineStr"/>
      <c r="F59" t="inlineStr">
        <is>
          <t>N</t>
        </is>
      </c>
      <c r="G59" t="inlineStr"/>
      <c r="H59" t="inlineStr"/>
      <c r="I59" t="inlineStr"/>
    </row>
    <row r="60">
      <c r="A60" t="n">
        <v>59</v>
      </c>
      <c r="B60" t="inlineStr">
        <is>
          <t>RIIZE</t>
        </is>
      </c>
      <c r="C60" t="inlineStr">
        <is>
          <t>spillover</t>
        </is>
      </c>
      <c r="D60" s="3" t="inlineStr">
        <is>
          <t>'II'는 같은 기간 빌보드재팬 톱 앨범 세일즈 차트에서도 1위를 기록했다</t>
        </is>
      </c>
      <c r="E60" t="inlineStr"/>
      <c r="F60" t="inlineStr">
        <is>
          <t>N</t>
        </is>
      </c>
      <c r="G60" t="inlineStr"/>
      <c r="H60" t="inlineStr"/>
      <c r="I60" t="inlineStr"/>
    </row>
    <row r="61">
      <c r="A61" t="n">
        <v>60</v>
      </c>
      <c r="B61" t="inlineStr">
        <is>
          <t>소녀시대</t>
        </is>
      </c>
      <c r="C61" t="inlineStr">
        <is>
          <t>spillover</t>
        </is>
      </c>
      <c r="D61" s="3" t="inlineStr">
        <is>
          <t>소녀시대는 2세대 걸그룹 중 누적 음반 판매량 1위(2,701,824장)를 기록했고, 가온(써클) 앨범차트 주간 1위를 22주간 차지했으며, 2012년과 2014년 미국 빌보드 200에 진입했다. 또한 뮤직뱅크에서 42회 1위(역대 걸그룹 최다)를 기록했고 지상파 음악방송 통산 1위 100회를 달성한 최초의 걸그룹이며, 지상파 음악방송 총 1위 횟수는 74회에 달한다</t>
        </is>
      </c>
      <c r="E61" t="inlineStr"/>
      <c r="F61" t="inlineStr">
        <is>
          <t>N</t>
        </is>
      </c>
      <c r="G61" t="inlineStr"/>
      <c r="H61" t="inlineStr"/>
      <c r="I61" t="inlineStr"/>
    </row>
    <row r="62">
      <c r="A62" t="n">
        <v>61</v>
      </c>
      <c r="B62" t="inlineStr">
        <is>
          <t>HOT</t>
        </is>
      </c>
      <c r="C62" t="inlineStr">
        <is>
          <t>spillover</t>
        </is>
      </c>
      <c r="D62" s="3" t="inlineStr">
        <is>
          <t>H.O.T. 토니안은 2026년 5월 SBS 예능에 출연해 과거 무리한 투자로 슈퍼카 3대 값에 달하는 손실을 봤다가, 하루 5~6시간씩 공부하며 최근 넉 달간(12월 2500만원, 1월 8000만원, 2월 6000만원, 4월 3500만원) 주식 투자로 수천만원대 수익을 냈다고 공개했다.</t>
        </is>
      </c>
      <c r="E62" t="inlineStr"/>
      <c r="F62" t="inlineStr">
        <is>
          <t>N</t>
        </is>
      </c>
      <c r="G62" t="inlineStr"/>
      <c r="H62" t="inlineStr"/>
      <c r="I62" t="inlineStr"/>
    </row>
    <row r="63">
      <c r="A63" t="n">
        <v>62</v>
      </c>
      <c r="B63" t="inlineStr">
        <is>
          <t>(여자)아이들</t>
        </is>
      </c>
      <c r="C63" t="inlineStr">
        <is>
          <t>loyalty</t>
        </is>
      </c>
      <c r="D63" s="3" t="inlineStr">
        <is>
          <t>(여자)아이들이 2019년 1월 첫 단독 리얼리티 'To NEVERLAND'(Mnet M2)를 방영했다.</t>
        </is>
      </c>
      <c r="E63" t="inlineStr"/>
      <c r="F63" t="inlineStr">
        <is>
          <t>N</t>
        </is>
      </c>
      <c r="G63" t="inlineStr"/>
      <c r="H63" t="inlineStr"/>
      <c r="I63" t="inlineStr"/>
    </row>
    <row r="64">
      <c r="A64" t="n">
        <v>63</v>
      </c>
      <c r="B64" t="inlineStr">
        <is>
          <t>슈퍼주니어</t>
        </is>
      </c>
      <c r="C64" t="inlineStr">
        <is>
          <t>spillover</t>
        </is>
      </c>
      <c r="D64" s="3" t="inlineStr">
        <is>
          <t>'Sorry, Sorry'(2009)는 한국에서 25만장 이상 팔리며 대만·태국·중국·필리핀에서 가장 많이 팔린 K-pop 음반이 되었다</t>
        </is>
      </c>
      <c r="E64" t="inlineStr"/>
      <c r="F64" t="inlineStr">
        <is>
          <t>N</t>
        </is>
      </c>
      <c r="G64" t="inlineStr"/>
      <c r="H64" t="inlineStr"/>
      <c r="I64" t="inlineStr"/>
    </row>
    <row r="65">
      <c r="A65" t="n">
        <v>64</v>
      </c>
      <c r="B65" t="inlineStr">
        <is>
          <t>이문세</t>
        </is>
      </c>
      <c r="C65" t="inlineStr">
        <is>
          <t>spillover</t>
        </is>
      </c>
      <c r="D65" s="3" t="inlineStr">
        <is>
          <t>나무위키 '이문세' 문서에 따르면 이문세는 나무위키 분류상 '유튜브 공식 아티스트 채널'을 보유하고 있으며, 2015년 tvN 드라마 '응답하라 1988'의 시청지도서 나레이션을 맡는 등 드라마 관련 목소리 출연도 했다.</t>
        </is>
      </c>
      <c r="E65" t="inlineStr"/>
      <c r="F65" t="inlineStr">
        <is>
          <t>N</t>
        </is>
      </c>
      <c r="G65" t="inlineStr"/>
      <c r="H65" t="inlineStr"/>
      <c r="I65" t="inlineStr"/>
    </row>
    <row r="66">
      <c r="A66" t="n">
        <v>65</v>
      </c>
      <c r="B66" t="inlineStr">
        <is>
          <t>NCT</t>
        </is>
      </c>
      <c r="C66" t="inlineStr">
        <is>
          <t>loyalty</t>
        </is>
      </c>
      <c r="D66" s="3" t="inlineStr">
        <is>
          <t>'NCT 2020 Resonance'가 발매 두 달 만에 260만장 이상 팔리며 당시 SM엔터테인먼트 역대 최고 판매 실물 음반이 되었다.</t>
        </is>
      </c>
      <c r="E66" t="inlineStr"/>
      <c r="F66" t="inlineStr">
        <is>
          <t>N</t>
        </is>
      </c>
      <c r="G66" t="inlineStr"/>
      <c r="H66" t="inlineStr"/>
      <c r="I66" t="inlineStr"/>
    </row>
    <row r="67">
      <c r="A67" t="n">
        <v>66</v>
      </c>
      <c r="B67" t="inlineStr">
        <is>
          <t>이승철</t>
        </is>
      </c>
      <c r="C67" t="inlineStr">
        <is>
          <t>spillover</t>
        </is>
      </c>
      <c r="D67" s="3" t="inlineStr">
        <is>
          <t>2025년 가수 아이유는 자신의 앨범에 부활·이승철의 곡 '네버 엔딩 스토리'를 리메이크해 수록하며 새로운 세대에게 이 곡을 소개했다.</t>
        </is>
      </c>
      <c r="E67" t="inlineStr"/>
      <c r="F67" t="inlineStr">
        <is>
          <t>N</t>
        </is>
      </c>
      <c r="G67" t="inlineStr"/>
      <c r="H67" t="inlineStr"/>
      <c r="I67" t="inlineStr"/>
    </row>
    <row r="68">
      <c r="A68" t="n">
        <v>67</v>
      </c>
      <c r="B68" t="inlineStr">
        <is>
          <t>거미</t>
        </is>
      </c>
      <c r="C68" t="inlineStr">
        <is>
          <t>spillover</t>
        </is>
      </c>
      <c r="D68" s="3" t="inlineStr">
        <is>
          <t>중국 동영상 플랫폼 빌리빌리(哔哩哔哩/bilibili)에 거미의 '태양의 후예' OST 'You Are My Everything'을 중국 팬이 남성 버전으로 번안해 부른 커버 영상('你是我的一切 중문번안 남판')이 게시되어 있어, 중국 팬덤 내 2차 창작 활동이 확인된다.</t>
        </is>
      </c>
      <c r="E68" t="inlineStr"/>
      <c r="F68" t="inlineStr">
        <is>
          <t>N</t>
        </is>
      </c>
      <c r="G68" t="inlineStr"/>
      <c r="H68" t="inlineStr"/>
      <c r="I68" t="inlineStr"/>
    </row>
    <row r="69">
      <c r="A69" t="n">
        <v>68</v>
      </c>
      <c r="B69" t="inlineStr">
        <is>
          <t>거미</t>
        </is>
      </c>
      <c r="C69" t="inlineStr">
        <is>
          <t>spillover</t>
        </is>
      </c>
      <c r="D69" s="3" t="inlineStr">
        <is>
          <t>Collaborated widely across genres: T.O.P of Big Bang ("I'm Sorry," 2008/2011), Park Yuchun of JYJ ("Let's Play," 2014), Ailee ("Jealousy," 2018), and Bobby Kim's "Love Recipe" series</t>
        </is>
      </c>
      <c r="E69" t="inlineStr"/>
      <c r="F69" t="inlineStr">
        <is>
          <t>N</t>
        </is>
      </c>
      <c r="G69" t="inlineStr"/>
      <c r="H69" t="inlineStr"/>
      <c r="I69" t="inlineStr"/>
    </row>
    <row r="70">
      <c r="A70" t="n">
        <v>69</v>
      </c>
      <c r="B70" t="inlineStr">
        <is>
          <t>악동뮤지션</t>
        </is>
      </c>
      <c r="C70" t="inlineStr">
        <is>
          <t>spillover</t>
        </is>
      </c>
      <c r="D70" s="3" t="inlineStr">
        <is>
          <t>이찬혁 개인 스트리밍 누적 7071만 회, 이수현 개인 스트리밍 누적 8243만 회 등 듀오 외 개별 활동으로도 음원 시장 소비를 견인하고 있다.</t>
        </is>
      </c>
      <c r="E70" t="inlineStr"/>
      <c r="F70" t="inlineStr">
        <is>
          <t>N</t>
        </is>
      </c>
      <c r="G70" t="inlineStr"/>
      <c r="H70" t="inlineStr"/>
      <c r="I70" t="inlineStr"/>
    </row>
    <row r="71">
      <c r="A71" t="n">
        <v>70</v>
      </c>
      <c r="B71" t="inlineStr">
        <is>
          <t>BTS</t>
        </is>
      </c>
      <c r="C71" t="inlineStr">
        <is>
          <t>spillover</t>
        </is>
      </c>
      <c r="D71" s="3" t="inlineStr">
        <is>
          <t>2026년 3월 BTS 컴백 공연 기간을 전후해 한국 여행수지가 11년 4개월 만에 처음으로 월간 흑자(2억6,380만달러)를 기록했고, 같은 달 방한객 수도 206만명으로 역대 최다를 기록했다.</t>
        </is>
      </c>
      <c r="E71" t="inlineStr"/>
      <c r="F71" t="inlineStr">
        <is>
          <t>N</t>
        </is>
      </c>
      <c r="G71" t="inlineStr"/>
      <c r="H71" t="inlineStr"/>
      <c r="I71" t="inlineStr"/>
    </row>
    <row r="72">
      <c r="A72" t="n">
        <v>71</v>
      </c>
      <c r="B72" t="inlineStr">
        <is>
          <t>마마무</t>
        </is>
      </c>
      <c r="C72" t="inlineStr">
        <is>
          <t>spillover</t>
        </is>
      </c>
      <c r="D72" s="3" t="inlineStr">
        <is>
          <t>First world tour "MY CON" (Nov 2022–June 2023) included a 9-city US leg (New York, LA, Chicago, etc.)</t>
        </is>
      </c>
      <c r="E72" t="inlineStr"/>
      <c r="F72" t="inlineStr">
        <is>
          <t>N</t>
        </is>
      </c>
      <c r="G72" t="inlineStr"/>
      <c r="H72" t="inlineStr"/>
      <c r="I72" t="inlineStr"/>
    </row>
    <row r="73">
      <c r="A73" t="n">
        <v>72</v>
      </c>
      <c r="B73" t="inlineStr">
        <is>
          <t>정동원</t>
        </is>
      </c>
      <c r="C73" t="inlineStr">
        <is>
          <t>loyalty</t>
        </is>
      </c>
      <c r="D73" s="3" t="inlineStr">
        <is>
          <t>정동원의 10대 마지막 단독 콘서트 '동화' 전국투어는 서울·부산·대구·성남·대전 등 7개 도시에서 열려 총 3만5,000명의 관객을 동원했다.</t>
        </is>
      </c>
      <c r="E73" t="inlineStr"/>
      <c r="F73" t="inlineStr">
        <is>
          <t>N</t>
        </is>
      </c>
      <c r="G73" t="inlineStr"/>
      <c r="H73" t="inlineStr"/>
      <c r="I73" t="inlineStr"/>
    </row>
    <row r="74">
      <c r="A74" t="n">
        <v>73</v>
      </c>
      <c r="B74" t="inlineStr">
        <is>
          <t>HOT</t>
        </is>
      </c>
      <c r="C74" t="inlineStr">
        <is>
          <t>spillover</t>
        </is>
      </c>
      <c r="D74" s="3" t="inlineStr">
        <is>
          <t>H.O.T. 인기로 인해 교육부가 사상 세 차례 전국 조퇴금지령을 발령했고, 2018년 재결합 콘서트 때는 관련 SRT 이용객 수가 최고치를 경신함</t>
        </is>
      </c>
      <c r="E74" t="inlineStr"/>
      <c r="F74" t="inlineStr">
        <is>
          <t>N</t>
        </is>
      </c>
      <c r="G74" t="inlineStr"/>
      <c r="H74" t="inlineStr"/>
      <c r="I74" t="inlineStr"/>
    </row>
    <row r="75">
      <c r="A75" t="n">
        <v>74</v>
      </c>
      <c r="B75" t="inlineStr">
        <is>
          <t>최예나</t>
        </is>
      </c>
      <c r="C75" t="inlineStr">
        <is>
          <t>spillover</t>
        </is>
      </c>
      <c r="D75" s="3" t="inlineStr">
        <is>
          <t>스페인 K팝 매체 바나나(BA NA NA)가 최예나가 비비와 협업한 'SMiLEY'로 솔로 데뷔했다고 보도했다.</t>
        </is>
      </c>
      <c r="E75" t="inlineStr">
        <is>
          <t>협업</t>
        </is>
      </c>
      <c r="F75" t="inlineStr">
        <is>
          <t>N</t>
        </is>
      </c>
      <c r="G75" t="inlineStr"/>
      <c r="H75" t="inlineStr"/>
      <c r="I75" t="inlineStr"/>
    </row>
    <row r="76">
      <c r="A76" t="n">
        <v>75</v>
      </c>
      <c r="B76" t="inlineStr">
        <is>
          <t>Zion.T</t>
        </is>
      </c>
      <c r="C76" t="inlineStr">
        <is>
          <t>spillover</t>
        </is>
      </c>
      <c r="D76" s="3" t="inlineStr">
        <is>
          <t>이문세와 협업한 '눈(Snow)'(2017)은 국내 주요 음악 차트를 모두 석권했다</t>
        </is>
      </c>
      <c r="E76" t="inlineStr">
        <is>
          <t>협업</t>
        </is>
      </c>
      <c r="F76" t="inlineStr">
        <is>
          <t>N</t>
        </is>
      </c>
      <c r="G76" t="inlineStr"/>
      <c r="H76" t="inlineStr"/>
      <c r="I76" t="inlineStr"/>
    </row>
    <row r="77">
      <c r="A77" t="n">
        <v>76</v>
      </c>
      <c r="B77" t="inlineStr">
        <is>
          <t>임영웅</t>
        </is>
      </c>
      <c r="C77" t="inlineStr">
        <is>
          <t>loyalty</t>
        </is>
      </c>
      <c r="D77" s="3" t="inlineStr">
        <is>
          <t>임영웅 팬클럽 '영웅시대'는 2025년 8월 앨범 구입비 300만 원을 성금으로 기부했다.</t>
        </is>
      </c>
      <c r="E77" t="inlineStr"/>
      <c r="F77" t="inlineStr">
        <is>
          <t>N</t>
        </is>
      </c>
      <c r="G77" t="inlineStr"/>
      <c r="H77" t="inlineStr"/>
      <c r="I77" t="inlineStr"/>
    </row>
    <row r="78">
      <c r="A78" t="n">
        <v>77</v>
      </c>
      <c r="B78" t="inlineStr">
        <is>
          <t>나훈아</t>
        </is>
      </c>
      <c r="C78" t="inlineStr">
        <is>
          <t>spillover</t>
        </is>
      </c>
      <c r="D78" s="3" t="inlineStr">
        <is>
          <t>나훈아는 1972년 12월 백마부대에서 명예 대위 직함을 받고, 파월 장병을 위한 위문공연을 위해 베트남으로 출국하는 등 국방부·군 관련 명예직을 통한 위문 활동을 했다.</t>
        </is>
      </c>
      <c r="E78" t="inlineStr"/>
      <c r="F78" t="inlineStr">
        <is>
          <t>N</t>
        </is>
      </c>
      <c r="G78" t="inlineStr"/>
      <c r="H78" t="inlineStr"/>
      <c r="I78" t="inlineStr"/>
    </row>
    <row r="79">
      <c r="A79" t="n">
        <v>78</v>
      </c>
      <c r="B79" t="inlineStr">
        <is>
          <t>TWICE</t>
        </is>
      </c>
      <c r="C79" t="inlineStr">
        <is>
          <t>loyalty</t>
        </is>
      </c>
      <c r="D79" s="3" t="inlineStr">
        <is>
          <t>태국 매체 Thairath는 TWICE의 5번째 월드투어 'READY TO BE' 방콕 공연(2023년 9월 23~24일, 임팩트 아레나 무앙통타니, 라이브네이션 주최)을 "4년 만의 귀환"으로 소개하며 팬들에게 워밍업을 당부했다</t>
        </is>
      </c>
      <c r="E79" t="inlineStr"/>
      <c r="F79" t="inlineStr">
        <is>
          <t>N</t>
        </is>
      </c>
      <c r="G79" t="inlineStr"/>
      <c r="H79" t="inlineStr"/>
      <c r="I79" t="inlineStr"/>
    </row>
    <row r="80">
      <c r="A80" t="n">
        <v>79</v>
      </c>
      <c r="B80" t="inlineStr">
        <is>
          <t>몬스타엑스</t>
        </is>
      </c>
      <c r="C80" t="inlineStr">
        <is>
          <t>spillover</t>
        </is>
      </c>
      <c r="D80" s="3" t="inlineStr">
        <is>
          <t>"SPOTLIGHT" 발매 당일 오리콘 랭킹 2위, 이튿날 8,150장 추가 판매로 1위에 등극해 일본 내 인기를 보여준 사례로 소개됐다.</t>
        </is>
      </c>
      <c r="E80" t="inlineStr"/>
      <c r="F80" t="inlineStr">
        <is>
          <t>N</t>
        </is>
      </c>
      <c r="G80" t="inlineStr"/>
      <c r="H80" t="inlineStr"/>
      <c r="I80" t="inlineStr"/>
    </row>
    <row r="81">
      <c r="A81" t="n">
        <v>80</v>
      </c>
      <c r="B81" t="inlineStr">
        <is>
          <t>Stray Kids</t>
        </is>
      </c>
      <c r="C81" t="inlineStr">
        <is>
          <t>loyalty</t>
        </is>
      </c>
      <c r="D81" s="3" t="inlineStr">
        <is>
          <t>2023년 앨범 '5-Star'는 선주문 513만장을 기록하며 K팝 그룹 최초로 앨범 선주문 500만장을 돌파했고, 한국음악콘텐츠협회(KMCA)로부터 국내 세 번째로 '500만 앨범' 인증을 받았다.</t>
        </is>
      </c>
      <c r="E81" t="inlineStr"/>
      <c r="F81" t="inlineStr">
        <is>
          <t>N</t>
        </is>
      </c>
      <c r="G81" t="inlineStr"/>
      <c r="H81" t="inlineStr"/>
      <c r="I81" t="inlineStr"/>
    </row>
    <row r="82">
      <c r="A82" t="n">
        <v>81</v>
      </c>
      <c r="B82" t="inlineStr">
        <is>
          <t>몬스타엑스</t>
        </is>
      </c>
      <c r="C82" t="inlineStr">
        <is>
          <t>loyalty</t>
        </is>
      </c>
      <c r="D82" s="3" t="inlineStr">
        <is>
          <t>'The Phase' 활동 인터뷰에서 기현은 "팬들이 한국어로 떼창하는 걸 들으면서 우리가 왜 계속 무대에 서야 하는지 다시 깨달았다"고 말했다.</t>
        </is>
      </c>
      <c r="E82" t="inlineStr"/>
      <c r="F82" t="inlineStr">
        <is>
          <t>N</t>
        </is>
      </c>
      <c r="G82" t="inlineStr"/>
      <c r="H82" t="inlineStr"/>
      <c r="I82" t="inlineStr"/>
    </row>
    <row r="83">
      <c r="A83" t="n">
        <v>82</v>
      </c>
      <c r="B83" t="inlineStr">
        <is>
          <t>브라운아이즈</t>
        </is>
      </c>
      <c r="C83" t="inlineStr">
        <is>
          <t>loyalty</t>
        </is>
      </c>
      <c r="D83" s="3" t="inlineStr">
        <is>
          <t>나무위키 '팬덤/목록' 문서에 따르면 브라운아이즈의 공식 팬덤명은 'B.E(비이)'이며 공식 색깔은 갈색이다.</t>
        </is>
      </c>
      <c r="E83" t="inlineStr"/>
      <c r="F83" t="inlineStr">
        <is>
          <t>N</t>
        </is>
      </c>
      <c r="G83" t="inlineStr"/>
      <c r="H83" t="inlineStr"/>
      <c r="I83" t="inlineStr"/>
    </row>
    <row r="84">
      <c r="A84" t="n">
        <v>83</v>
      </c>
      <c r="B84" t="inlineStr">
        <is>
          <t>박정현</t>
        </is>
      </c>
      <c r="C84" t="inlineStr">
        <is>
          <t>spillover</t>
        </is>
      </c>
      <c r="D84" s="3" t="inlineStr">
        <is>
          <t>'작은 거인' 박정현이 복면가왕 최초로 무대에 올랐다.</t>
        </is>
      </c>
      <c r="E84" t="inlineStr"/>
      <c r="F84" t="inlineStr">
        <is>
          <t>N</t>
        </is>
      </c>
      <c r="G84" t="inlineStr"/>
      <c r="H84" t="inlineStr"/>
      <c r="I84" t="inlineStr"/>
    </row>
    <row r="85">
      <c r="A85" t="n">
        <v>84</v>
      </c>
      <c r="B85" t="inlineStr">
        <is>
          <t>프로미스나인</t>
        </is>
      </c>
      <c r="C85" t="inlineStr">
        <is>
          <t>loyalty</t>
        </is>
      </c>
      <c r="D85" s="3" t="inlineStr">
        <is>
          <t>2025년 1월 소속사(Asnd)를 옮기면서도 5인 멤버 전원이 완전체를 유지, 6번째 EP 'From Our 20's'(2025.6)를 발매했다.</t>
        </is>
      </c>
      <c r="E85" t="inlineStr"/>
      <c r="F85" t="inlineStr">
        <is>
          <t>N</t>
        </is>
      </c>
      <c r="G85" t="inlineStr"/>
      <c r="H85" t="inlineStr"/>
      <c r="I85" t="inlineStr"/>
    </row>
    <row r="86">
      <c r="A86" t="n">
        <v>85</v>
      </c>
      <c r="B86" t="inlineStr">
        <is>
          <t>SEVENTEEN</t>
        </is>
      </c>
      <c r="C86" t="inlineStr">
        <is>
          <t>spillover</t>
        </is>
      </c>
      <c r="D86" s="3" t="inlineStr">
        <is>
          <t>RNZ는 세븐틴이 영국 글래스턴베리 페스티벌에 출연해 K팝 그룹 최초로 역사를 썼다고 보도했다.</t>
        </is>
      </c>
      <c r="E86" t="inlineStr"/>
      <c r="F86" t="inlineStr">
        <is>
          <t>N</t>
        </is>
      </c>
      <c r="G86" t="inlineStr"/>
      <c r="H86" t="inlineStr"/>
      <c r="I86" t="inlineStr"/>
    </row>
    <row r="87">
      <c r="A87" t="n">
        <v>86</v>
      </c>
      <c r="B87" t="inlineStr">
        <is>
          <t>오마이걸</t>
        </is>
      </c>
      <c r="C87" t="inlineStr">
        <is>
          <t>spillover</t>
        </is>
      </c>
      <c r="D87" s="3" t="inlineStr">
        <is>
          <t>오마이걸 공식 유튜브 채널(@OHMYGIRL, 2015년 3월 개설)은 2026년 4월 기준 구독자 약 105만 명, 누적 조회수 약 5억 6,525만 회를 기록했으며, 뮤직비디오 외에도 'OH MY GIRL SKETCHBOOK', 'OH! CLIP', 브이로그 등 자체 예능형 콘텐츠를 정기적으로 제작한다.</t>
        </is>
      </c>
      <c r="E87" t="inlineStr"/>
      <c r="F87" t="inlineStr">
        <is>
          <t>N</t>
        </is>
      </c>
      <c r="G87" t="inlineStr"/>
      <c r="H87" t="inlineStr"/>
      <c r="I87" t="inlineStr"/>
    </row>
    <row r="88">
      <c r="A88" t="n">
        <v>87</v>
      </c>
      <c r="B88" t="inlineStr">
        <is>
          <t>워너원</t>
        </is>
      </c>
      <c r="C88" t="inlineStr">
        <is>
          <t>spillover</t>
        </is>
      </c>
      <c r="D88" s="3" t="inlineStr">
        <is>
          <t>Oricon.co.jp's weekly chart page tracked the Japanese-market release/import of Wanna One's "1×1=1 (To Be One)" on Japan's official albums chart.</t>
        </is>
      </c>
      <c r="E88" t="inlineStr"/>
      <c r="F88" t="inlineStr">
        <is>
          <t>N</t>
        </is>
      </c>
      <c r="G88" t="inlineStr"/>
      <c r="H88" t="inlineStr"/>
      <c r="I88" t="inlineStr"/>
    </row>
    <row r="89">
      <c r="A89" t="n">
        <v>88</v>
      </c>
      <c r="B89" t="inlineStr">
        <is>
          <t>NewJeans</t>
        </is>
      </c>
      <c r="C89" t="inlineStr">
        <is>
          <t>loyalty</t>
        </is>
      </c>
      <c r="D89" s="3" t="inlineStr">
        <is>
          <t>데뷔 EP 예약 판매량이 발매 3일 만에 44만 4천 장을 넘었다(2022년 7월).</t>
        </is>
      </c>
      <c r="E89" t="inlineStr"/>
      <c r="F89" t="inlineStr">
        <is>
          <t>N</t>
        </is>
      </c>
      <c r="G89" t="inlineStr"/>
      <c r="H89" t="inlineStr"/>
      <c r="I89" t="inlineStr"/>
    </row>
    <row r="90">
      <c r="A90" t="n">
        <v>89</v>
      </c>
      <c r="B90" t="inlineStr">
        <is>
          <t>god</t>
        </is>
      </c>
      <c r="C90" t="inlineStr">
        <is>
          <t>loyalty</t>
        </is>
      </c>
      <c r="D90" s="3" t="inlineStr">
        <is>
          <t>데뷔 28년 차 god가 데뷔 1만일 기념 'Sky Blue Balloon Week' 테마파크 행사를 성황리에 열었고, 팬 투표 플랫폼 Bstage 팀워크 부문 1위·손호영 개인 부문 1위, 공식 팬클럽 '팬지오디'의 예능 '팬덤 스테이지' 출연 등으로 견고한 팬덤 결속력을 보여줬다.</t>
        </is>
      </c>
      <c r="E90" t="inlineStr"/>
      <c r="F90" t="inlineStr">
        <is>
          <t>N</t>
        </is>
      </c>
      <c r="G90" t="inlineStr"/>
      <c r="H90" t="inlineStr"/>
      <c r="I90" t="inlineStr"/>
    </row>
    <row r="91">
      <c r="A91" t="n">
        <v>90</v>
      </c>
      <c r="B91" t="inlineStr">
        <is>
          <t>ATEEZ</t>
        </is>
      </c>
      <c r="C91" t="inlineStr">
        <is>
          <t>loyalty</t>
        </is>
      </c>
      <c r="D91" s="3" t="inlineStr">
        <is>
          <t>For the 2026 World Tour "In Your Fantasy" Australian dates, ATINY membership presale opened Nov 21, 2025 and a separate Frontier member presale opened Nov 24, ahead of general public on-sale Nov 25 — a tiered fan-first ticketing structure</t>
        </is>
      </c>
      <c r="E91" t="inlineStr"/>
      <c r="F91" t="inlineStr">
        <is>
          <t>N</t>
        </is>
      </c>
      <c r="G91" t="inlineStr"/>
      <c r="H91" t="inlineStr"/>
      <c r="I91" t="inlineStr"/>
    </row>
    <row r="92">
      <c r="A92" t="n">
        <v>91</v>
      </c>
      <c r="B92" t="inlineStr">
        <is>
          <t>비비</t>
        </is>
      </c>
      <c r="C92" t="inlineStr">
        <is>
          <t>spillover</t>
        </is>
      </c>
      <c r="D92" s="3" t="inlineStr">
        <is>
          <t>Time Out Hong Kong covered BIBI's 2025 "EVE" world tour stop in Hong Kong, reporting her as a "rising Korean star" bringing her world tour to the city — regional media coverage in 중화권(Greater China)</t>
        </is>
      </c>
      <c r="E92" t="inlineStr"/>
      <c r="F92" t="inlineStr">
        <is>
          <t>N</t>
        </is>
      </c>
      <c r="G92" t="inlineStr"/>
      <c r="H92" t="inlineStr"/>
      <c r="I92" t="inlineStr"/>
    </row>
    <row r="93">
      <c r="A93" t="n">
        <v>92</v>
      </c>
      <c r="B93" t="inlineStr">
        <is>
          <t>Hearts2Hearts</t>
        </is>
      </c>
      <c r="C93" t="inlineStr">
        <is>
          <t>spillover</t>
        </is>
      </c>
      <c r="D93" s="3" t="inlineStr">
        <is>
          <t>2026년 8월 12일 발매한 일본 데뷔 싱글 'ICONIC HEART'가 오리콘 및 빌보드 재팬 차트 동시 2위에 올라 여성 아티스트 일본 데뷔 싱글 중 올해 최고 첫 주 판매량을 기록했으며, 이후 홍콩 TIMA 시상식(8/22)에도 출연했다</t>
        </is>
      </c>
      <c r="E93" t="inlineStr"/>
      <c r="F93" t="inlineStr">
        <is>
          <t>N</t>
        </is>
      </c>
      <c r="G93" t="inlineStr"/>
      <c r="H93" t="inlineStr"/>
      <c r="I93" t="inlineStr"/>
    </row>
    <row r="94">
      <c r="A94" t="n">
        <v>93</v>
      </c>
      <c r="B94" t="inlineStr">
        <is>
          <t>IKON</t>
        </is>
      </c>
      <c r="C94" t="inlineStr">
        <is>
          <t>loyalty</t>
        </is>
      </c>
      <c r="D94" s="3" t="inlineStr">
        <is>
          <t>오사카 팬미팅에는 약 40,000명, 베이징 팬미팅에는 50,000명 이상이 응모해 해외 팬덤의 높은 수요를 보여주었다.</t>
        </is>
      </c>
      <c r="E94" t="inlineStr"/>
      <c r="F94" t="inlineStr">
        <is>
          <t>N</t>
        </is>
      </c>
      <c r="G94" t="inlineStr"/>
      <c r="H94" t="inlineStr"/>
      <c r="I94" t="inlineStr"/>
    </row>
    <row r="95">
      <c r="A95" t="n">
        <v>94</v>
      </c>
      <c r="B95" t="inlineStr">
        <is>
          <t>린</t>
        </is>
      </c>
      <c r="C95" t="inlineStr">
        <is>
          <t>loyalty</t>
        </is>
      </c>
      <c r="D95" s="3" t="inlineStr">
        <is>
          <t>린은 2026년 6월 27일 이화여자대학교 삼성홀 콘서트 'Queen of Serenade'에서 관객과 대화하며 무반주 공연을 진행하는 등 팬들에게 직접 감사를 표하는 무대를 선보였다.</t>
        </is>
      </c>
      <c r="E95" t="inlineStr"/>
      <c r="F95" t="inlineStr">
        <is>
          <t>N</t>
        </is>
      </c>
      <c r="G95" t="inlineStr"/>
      <c r="H95" t="inlineStr"/>
      <c r="I95" t="inlineStr"/>
    </row>
    <row r="96">
      <c r="A96" t="n">
        <v>95</v>
      </c>
      <c r="B96" t="inlineStr">
        <is>
          <t>이문세</t>
        </is>
      </c>
      <c r="C96" t="inlineStr">
        <is>
          <t>spillover</t>
        </is>
      </c>
      <c r="D96" s="3" t="inlineStr">
        <is>
          <t>이문세는 2025년 6월 7년 만에 북미 투어를 열어 6월14일 뉴저지 NJPAC, 6월21일 로스앤젤레스 피콕시어터에서 공연했다고 영어 매체 Best of Korea가 보도했다.</t>
        </is>
      </c>
      <c r="E96" t="inlineStr"/>
      <c r="F96" t="inlineStr">
        <is>
          <t>N</t>
        </is>
      </c>
      <c r="G96" t="inlineStr"/>
      <c r="H96" t="inlineStr"/>
      <c r="I96" t="inlineStr"/>
    </row>
    <row r="97">
      <c r="A97" t="n">
        <v>96</v>
      </c>
      <c r="B97" t="inlineStr">
        <is>
          <t>지코</t>
        </is>
      </c>
      <c r="C97" t="inlineStr">
        <is>
          <t>spillover</t>
        </is>
      </c>
      <c r="D97" s="3" t="inlineStr">
        <is>
          <t>일본 Infoseek(wowkorea 경유)는 ZICO의 도쿄 공연이 성황을 이루었으며 그가 "이 자리에서 새로운 챕터를 시작하고 싶다"는 메시지를 전했다고 보도했다.</t>
        </is>
      </c>
      <c r="E97" t="inlineStr"/>
      <c r="F97" t="inlineStr">
        <is>
          <t>N</t>
        </is>
      </c>
      <c r="G97" t="inlineStr"/>
      <c r="H97" t="inlineStr"/>
      <c r="I97" t="inlineStr"/>
    </row>
    <row r="98">
      <c r="A98" t="n">
        <v>97</v>
      </c>
      <c r="B98" t="inlineStr">
        <is>
          <t>SEVENTEEN</t>
        </is>
      </c>
      <c r="C98" t="inlineStr">
        <is>
          <t>loyalty</t>
        </is>
      </c>
      <c r="D98" s="3" t="inlineStr">
        <is>
          <t>NZ 헤럴드는 세븐틴의 뉴질랜드 팬클럽 '캐럿(Carats)'이 그룹을 환영하는 영상 편지를 제작해 공개했다고 보도했다.</t>
        </is>
      </c>
      <c r="E98" t="inlineStr"/>
      <c r="F98" t="inlineStr">
        <is>
          <t>N</t>
        </is>
      </c>
      <c r="G98" t="inlineStr"/>
      <c r="H98" t="inlineStr"/>
      <c r="I98" t="inlineStr"/>
    </row>
    <row r="99">
      <c r="A99" t="n">
        <v>98</v>
      </c>
      <c r="B99" t="inlineStr">
        <is>
          <t>윤하</t>
        </is>
      </c>
      <c r="C99" t="inlineStr">
        <is>
          <t>loyalty</t>
        </is>
      </c>
      <c r="D99" s="3" t="inlineStr">
        <is>
          <t>데뷔 20주년을 맞아 2024년 서울 블루스퀘어에서 열린 소극장 콘서트(2015·2016·2019년에 이은 4번째 시리즈)에서 팬클럽 선예매가 일반 예매보다 하루 앞서 진행되어 충성 팬 우선 배려 구조가 유지되고 있음</t>
        </is>
      </c>
      <c r="E99" t="inlineStr"/>
      <c r="F99" t="inlineStr">
        <is>
          <t>N</t>
        </is>
      </c>
      <c r="G99" t="inlineStr"/>
      <c r="H99" t="inlineStr"/>
      <c r="I99" t="inlineStr"/>
    </row>
    <row r="100">
      <c r="A100" t="n">
        <v>99</v>
      </c>
      <c r="B100" t="inlineStr">
        <is>
          <t>빅마마</t>
        </is>
      </c>
      <c r="C100" t="inlineStr">
        <is>
          <t>spillover</t>
        </is>
      </c>
      <c r="D100" s="3" t="inlineStr">
        <is>
          <t>빅마마는 2022년 2월 11년 만의 정규앨범인 6집 '본(本)'을 발매했다.</t>
        </is>
      </c>
      <c r="E100" t="inlineStr"/>
      <c r="F100" t="inlineStr">
        <is>
          <t>N</t>
        </is>
      </c>
      <c r="G100" t="inlineStr"/>
      <c r="H100" t="inlineStr"/>
      <c r="I100" t="inlineStr"/>
    </row>
    <row r="101">
      <c r="A101" t="n">
        <v>100</v>
      </c>
      <c r="B101" t="inlineStr">
        <is>
          <t>BLACKPINK</t>
        </is>
      </c>
      <c r="C101" t="inlineStr">
        <is>
          <t>spillover</t>
        </is>
      </c>
      <c r="D101" s="3" t="inlineStr">
        <is>
          <t>블랙핑크 지수가 2026년 1월21일 발표된 넷플릭스 오리지널 시리즈 '월간남친'에 웹툰 PD 서미래 역으로 캐스팅, 서인국과 호흡을 맞추며 서강준·이수혁·김성철이 특별출연한다. 2026년 1분기 190여개국 동시공개 예정.</t>
        </is>
      </c>
      <c r="E101" t="inlineStr"/>
      <c r="F101" t="inlineStr">
        <is>
          <t>N</t>
        </is>
      </c>
      <c r="G101" t="inlineStr"/>
      <c r="H101" t="inlineStr"/>
      <c r="I101" t="inlineStr"/>
    </row>
    <row r="102">
      <c r="A102" t="n">
        <v>101</v>
      </c>
      <c r="B102" t="inlineStr">
        <is>
          <t>Crush</t>
        </is>
      </c>
      <c r="C102" t="inlineStr">
        <is>
          <t>spillover</t>
        </is>
      </c>
      <c r="D102" s="3" t="inlineStr">
        <is>
          <t>크러쉬는 SBS 드라마 '괜찮아, 사랑이야'(2014) OST에 펀치와 함께 '잠 못드는 밤'을 피처링으로 참여했다.</t>
        </is>
      </c>
      <c r="E102" t="inlineStr"/>
      <c r="F102" t="inlineStr">
        <is>
          <t>N</t>
        </is>
      </c>
      <c r="G102" t="inlineStr"/>
      <c r="H102" t="inlineStr"/>
      <c r="I102" t="inlineStr"/>
    </row>
    <row r="103">
      <c r="A103" t="n">
        <v>102</v>
      </c>
      <c r="B103" t="inlineStr">
        <is>
          <t>DAY6</t>
        </is>
      </c>
      <c r="C103" t="inlineStr">
        <is>
          <t>loyalty</t>
        </is>
      </c>
      <c r="D103" s="3" t="inlineStr">
        <is>
          <t>데이식스 원필은 2026년 5월 1~3일 'WONPIL SOLO CONCERT Unpiltered'를 열었으며, 이는 2022년 첫 솔로 정규앨범 'Pilmography' 이후 약 4년 2개월 만의 개인 단독 콘서트였다.</t>
        </is>
      </c>
      <c r="E103" t="inlineStr"/>
      <c r="F103" t="inlineStr">
        <is>
          <t>N</t>
        </is>
      </c>
      <c r="G103" t="inlineStr"/>
      <c r="H103" t="inlineStr"/>
      <c r="I103" t="inlineStr"/>
    </row>
    <row r="104">
      <c r="A104" t="n">
        <v>103</v>
      </c>
      <c r="B104" t="inlineStr">
        <is>
          <t>A-pink</t>
        </is>
      </c>
      <c r="C104" t="inlineStr">
        <is>
          <t>loyalty</t>
        </is>
      </c>
      <c r="D104" s="3" t="inlineStr">
        <is>
          <t>신랑(sina.cn)에는 웨이보 초화(超話) 게시물 "Apink5000天快乐！一直走花路"가 뉴스로 전재되어 데뷔 5000일을 기념하는 중국 팬덤 활동이 확인된다.</t>
        </is>
      </c>
      <c r="E104" t="inlineStr"/>
      <c r="F104" t="inlineStr">
        <is>
          <t>N</t>
        </is>
      </c>
      <c r="G104" t="inlineStr"/>
      <c r="H104" t="inlineStr"/>
      <c r="I104" t="inlineStr"/>
    </row>
    <row r="105">
      <c r="A105" t="n">
        <v>104</v>
      </c>
      <c r="B105" t="inlineStr">
        <is>
          <t>장윤정</t>
        </is>
      </c>
      <c r="C105" t="inlineStr">
        <is>
          <t>loyalty</t>
        </is>
      </c>
      <c r="D105" s="3" t="inlineStr">
        <is>
          <t>공식 팬클럽명은 '레모네이드'이며 상징색은 노란색이다.</t>
        </is>
      </c>
      <c r="E105" t="inlineStr"/>
      <c r="F105" t="inlineStr">
        <is>
          <t>N</t>
        </is>
      </c>
      <c r="G105" t="inlineStr"/>
      <c r="H105" t="inlineStr"/>
      <c r="I105" t="inlineStr"/>
    </row>
    <row r="106">
      <c r="A106" t="n">
        <v>105</v>
      </c>
      <c r="B106" t="inlineStr">
        <is>
          <t>보아</t>
        </is>
      </c>
      <c r="C106" t="inlineStr">
        <is>
          <t>spillover</t>
        </is>
      </c>
      <c r="D106" s="3" t="inlineStr">
        <is>
          <t>보아는 2010~2011년 방영된 KBS2 드라마 '아테나: 전쟁의 여신'에 카메오로 출연했다.</t>
        </is>
      </c>
      <c r="E106" t="inlineStr"/>
      <c r="F106" t="inlineStr">
        <is>
          <t>N</t>
        </is>
      </c>
      <c r="G106" t="inlineStr"/>
      <c r="H106" t="inlineStr"/>
      <c r="I106" t="inlineStr"/>
    </row>
    <row r="107">
      <c r="A107" s="4" t="n">
        <v>106</v>
      </c>
      <c r="B107" s="4" t="inlineStr">
        <is>
          <t>카더가든</t>
        </is>
      </c>
      <c r="C107" s="4" t="inlineStr">
        <is>
          <t>spillover</t>
        </is>
      </c>
      <c r="D107" s="5" t="inlineStr">
        <is>
          <t>Became a promotional face for 나무증권 (Namu Securities), featured on the app's startup screen April 14–21, 2026</t>
        </is>
      </c>
      <c r="E107" s="4" t="inlineStr"/>
      <c r="F107" s="4" t="inlineStr">
        <is>
          <t>Y</t>
        </is>
      </c>
      <c r="G107" s="4" t="inlineStr">
        <is>
          <t>promotional face (영문 광고모델)</t>
        </is>
      </c>
      <c r="H107" s="4" t="inlineStr"/>
      <c r="I107" s="4" t="inlineStr"/>
    </row>
    <row r="108">
      <c r="A108" t="n">
        <v>107</v>
      </c>
      <c r="B108" t="inlineStr">
        <is>
          <t>빅마마</t>
        </is>
      </c>
      <c r="C108" t="inlineStr">
        <is>
          <t>spillover</t>
        </is>
      </c>
      <c r="D108" s="3" t="inlineStr">
        <is>
          <t>빅마마 데뷔 이후 버블시스터즈, 씨야, 가비엔제이, 브라운아이드걸스 등 다수의 실력파 여성 보컬 그룹이 등장했다는 평가를 받는다</t>
        </is>
      </c>
      <c r="E108" t="inlineStr"/>
      <c r="F108" t="inlineStr">
        <is>
          <t>N</t>
        </is>
      </c>
      <c r="G108" t="inlineStr"/>
      <c r="H108" t="inlineStr"/>
      <c r="I108" t="inlineStr"/>
    </row>
    <row r="109">
      <c r="A109" t="n">
        <v>108</v>
      </c>
      <c r="B109" t="inlineStr">
        <is>
          <t>송가인</t>
        </is>
      </c>
      <c r="C109" t="inlineStr">
        <is>
          <t>spillover</t>
        </is>
      </c>
      <c r="D109" s="3" t="inlineStr">
        <is>
          <t>송가인이 2019년 9월 14일 MBC '전지적 참견 시점'에 출연해 우승 이후 살인적인 스케줄과 리무진 생활 등을 다뤘다.</t>
        </is>
      </c>
      <c r="E109" t="inlineStr"/>
      <c r="F109" t="inlineStr">
        <is>
          <t>N</t>
        </is>
      </c>
      <c r="G109" t="inlineStr"/>
      <c r="H109" t="inlineStr"/>
      <c r="I109" t="inlineStr"/>
    </row>
    <row r="110">
      <c r="A110" t="n">
        <v>109</v>
      </c>
      <c r="B110" t="inlineStr">
        <is>
          <t>김연자</t>
        </is>
      </c>
      <c r="C110" t="inlineStr">
        <is>
          <t>spillover</t>
        </is>
      </c>
      <c r="D110" s="3" t="inlineStr">
        <is>
          <t>2000년 3월 외국인 최초로 일본 마쓰오 예능상을 수상했다.</t>
        </is>
      </c>
      <c r="E110" t="inlineStr"/>
      <c r="F110" t="inlineStr">
        <is>
          <t>N</t>
        </is>
      </c>
      <c r="G110" t="inlineStr"/>
      <c r="H110" t="inlineStr"/>
      <c r="I110" t="inlineStr"/>
    </row>
    <row r="111">
      <c r="A111" t="n">
        <v>110</v>
      </c>
      <c r="B111" t="inlineStr">
        <is>
          <t>에픽하이</t>
        </is>
      </c>
      <c r="C111" t="inlineStr">
        <is>
          <t>loyalty</t>
        </is>
      </c>
      <c r="D111" s="3" t="inlineStr">
        <is>
          <t>콘서트 전석 매진 소식이 화제성 있는 제목으로 보도될 만큼 티켓 파워를 인정받았다.</t>
        </is>
      </c>
      <c r="E111" t="inlineStr"/>
      <c r="F111" t="inlineStr">
        <is>
          <t>N</t>
        </is>
      </c>
      <c r="G111" t="inlineStr"/>
      <c r="H111" t="inlineStr"/>
      <c r="I111" t="inlineStr"/>
    </row>
    <row r="112">
      <c r="A112" t="n">
        <v>111</v>
      </c>
      <c r="B112" t="inlineStr">
        <is>
          <t>청하</t>
        </is>
      </c>
      <c r="C112" t="inlineStr">
        <is>
          <t>spillover</t>
        </is>
      </c>
      <c r="D112" s="3" t="inlineStr">
        <is>
          <t>청하와 엑스디너리 히어로즈가 '스포티파이 랩드 라이브 인도네시아 2024'에 출연했다는 기사.</t>
        </is>
      </c>
      <c r="E112" t="inlineStr"/>
      <c r="F112" t="inlineStr">
        <is>
          <t>N</t>
        </is>
      </c>
      <c r="G112" t="inlineStr"/>
      <c r="H112" t="inlineStr"/>
      <c r="I112" t="inlineStr"/>
    </row>
    <row r="113">
      <c r="A113" t="n">
        <v>112</v>
      </c>
      <c r="B113" t="inlineStr">
        <is>
          <t>거미</t>
        </is>
      </c>
      <c r="C113" t="inlineStr">
        <is>
          <t>spillover</t>
        </is>
      </c>
      <c r="D113" s="3" t="inlineStr">
        <is>
          <t>거미가 부른 드라마 '태양의 후예' OST 'You Are My Everything'은 벅스뮤직 차트에서 발매 다음 날 1위에 올라 7일간 정상을 지켰다.</t>
        </is>
      </c>
      <c r="E113" t="inlineStr"/>
      <c r="F113" t="inlineStr">
        <is>
          <t>N</t>
        </is>
      </c>
      <c r="G113" t="inlineStr"/>
      <c r="H113" t="inlineStr"/>
      <c r="I113" t="inlineStr"/>
    </row>
    <row r="114">
      <c r="A114" t="n">
        <v>113</v>
      </c>
      <c r="B114" t="inlineStr">
        <is>
          <t>윤하</t>
        </is>
      </c>
      <c r="C114" t="inlineStr">
        <is>
          <t>spillover</t>
        </is>
      </c>
      <c r="D114" s="3" t="inlineStr">
        <is>
          <t>윤하의 '사건의 지평선'(2022)은 써클(구 가온) 디지털차트 1위를 기록했다</t>
        </is>
      </c>
      <c r="E114" t="inlineStr"/>
      <c r="F114" t="inlineStr">
        <is>
          <t>N</t>
        </is>
      </c>
      <c r="G114" t="inlineStr"/>
      <c r="H114" t="inlineStr"/>
      <c r="I114" t="inlineStr"/>
    </row>
    <row r="115">
      <c r="A115" t="n">
        <v>114</v>
      </c>
      <c r="B115" t="inlineStr">
        <is>
          <t>TWICE</t>
        </is>
      </c>
      <c r="C115" t="inlineStr">
        <is>
          <t>loyalty</t>
        </is>
      </c>
      <c r="D115" s="3" t="inlineStr">
        <is>
          <t>TWICE 공식 팬클럽 ONCE는 2017년 1기 출범 이후 2025년 4월 29일부터 5기가 운영 중이며, 국내 ONCE CANDY와 해외 ONCE JELLY로 구분해 지속적으로 팬덤을 조직해왔다</t>
        </is>
      </c>
      <c r="E115" t="inlineStr"/>
      <c r="F115" t="inlineStr">
        <is>
          <t>N</t>
        </is>
      </c>
      <c r="G115" t="inlineStr"/>
      <c r="H115" t="inlineStr"/>
      <c r="I115" t="inlineStr"/>
    </row>
    <row r="116">
      <c r="A116" t="n">
        <v>115</v>
      </c>
      <c r="B116" t="inlineStr">
        <is>
          <t>HOT</t>
        </is>
      </c>
      <c r="C116" t="inlineStr">
        <is>
          <t>spillover</t>
        </is>
      </c>
      <c r="D116" s="3" t="inlineStr">
        <is>
          <t>2025년 11월 인천 인스파이어 아레나에서 열린 한터뮤직페스티벌의 H.O.T. 완전체 공연을 코리아타임스가 영어 기사로 보도하며 '현대 K팝 형성에 중요한 역할을 한 선구적 그룹'으로 소개했고, 강타는 '서로 다른 세대의 아이돌들이 한 무대에 서기는 쉽지 않다'며 후배들과의 공연에 감사를 표했다.</t>
        </is>
      </c>
      <c r="E116" t="inlineStr"/>
      <c r="F116" t="inlineStr">
        <is>
          <t>N</t>
        </is>
      </c>
      <c r="G116" t="inlineStr"/>
      <c r="H116" t="inlineStr"/>
      <c r="I116" t="inlineStr"/>
    </row>
    <row r="117">
      <c r="A117" t="n">
        <v>116</v>
      </c>
      <c r="B117" t="inlineStr">
        <is>
          <t>BLACKPINK</t>
        </is>
      </c>
      <c r="C117" t="inlineStr">
        <is>
          <t>spillover</t>
        </is>
      </c>
      <c r="D117" s="3" t="inlineStr">
        <is>
          <t>Univision covered how to get tickets for BLACKPINK's San Francisco concert</t>
        </is>
      </c>
      <c r="E117" t="inlineStr"/>
      <c r="F117" t="inlineStr">
        <is>
          <t>N</t>
        </is>
      </c>
      <c r="G117" t="inlineStr"/>
      <c r="H117" t="inlineStr"/>
      <c r="I117" t="inlineStr"/>
    </row>
    <row r="118">
      <c r="A118" t="n">
        <v>117</v>
      </c>
      <c r="B118" t="inlineStr">
        <is>
          <t>비비</t>
        </is>
      </c>
      <c r="C118" t="inlineStr">
        <is>
          <t>spillover</t>
        </is>
      </c>
      <c r="D118" s="3" t="inlineStr">
        <is>
          <t>비비는 2023년 디즈니+ 드라마 '최악의 악'에서 이해련 역, 2024년 디즈니+ '강남 비-사이드'에서 김재희 역, 2024년 SBS '열혈사제2'에서 구자영 역을 맡아 배우로 활동했다.</t>
        </is>
      </c>
      <c r="E118" t="inlineStr"/>
      <c r="F118" t="inlineStr">
        <is>
          <t>N</t>
        </is>
      </c>
      <c r="G118" t="inlineStr"/>
      <c r="H118" t="inlineStr"/>
      <c r="I118" t="inlineStr"/>
    </row>
    <row r="119">
      <c r="A119" t="n">
        <v>118</v>
      </c>
      <c r="B119" t="inlineStr">
        <is>
          <t>임영웅</t>
        </is>
      </c>
      <c r="C119" t="inlineStr">
        <is>
          <t>loyalty</t>
        </is>
      </c>
      <c r="D119" s="3" t="inlineStr">
        <is>
          <t>2025년 9월 서울 콘서트 티켓이 오픈과 동시 전석 매진되고 대기자만 16만 명에 달했다.</t>
        </is>
      </c>
      <c r="E119" t="inlineStr"/>
      <c r="F119" t="inlineStr">
        <is>
          <t>N</t>
        </is>
      </c>
      <c r="G119" t="inlineStr"/>
      <c r="H119" t="inlineStr"/>
      <c r="I119" t="inlineStr"/>
    </row>
    <row r="120">
      <c r="A120" t="n">
        <v>119</v>
      </c>
      <c r="B120" t="inlineStr">
        <is>
          <t>박재범</t>
        </is>
      </c>
      <c r="C120" t="inlineStr">
        <is>
          <t>spillover</t>
        </is>
      </c>
      <c r="D120" s="3" t="inlineStr">
        <is>
          <t>코리아타임스가 넷플릭스 드라마 '월간남친(Boyfriend on Demand)'(2026)에서 박재범이 파티 장면에서 여주인공에게 춤을 청하는 '가상 남친' 역할로 특별출연한다고 보도했다.</t>
        </is>
      </c>
      <c r="E120" t="inlineStr"/>
      <c r="F120" t="inlineStr">
        <is>
          <t>N</t>
        </is>
      </c>
      <c r="G120" t="inlineStr"/>
      <c r="H120" t="inlineStr"/>
      <c r="I120" t="inlineStr"/>
    </row>
    <row r="121">
      <c r="A121" t="n">
        <v>120</v>
      </c>
      <c r="B121" t="inlineStr">
        <is>
          <t>백지영</t>
        </is>
      </c>
      <c r="C121" t="inlineStr">
        <is>
          <t>loyalty</t>
        </is>
      </c>
      <c r="D121" s="3" t="inlineStr">
        <is>
          <t>First solo concert in seven years drew crowds at Jamsil Gymnasium, Seoul (Feb 16, 2013), followed by a nationwide tour (March 2013) and her first sold-out Japan performance (May 2013)</t>
        </is>
      </c>
      <c r="E121" t="inlineStr"/>
      <c r="F121" t="inlineStr">
        <is>
          <t>N</t>
        </is>
      </c>
      <c r="G121" t="inlineStr"/>
      <c r="H121" t="inlineStr"/>
      <c r="I121" t="inlineStr"/>
    </row>
    <row r="122">
      <c r="A122" t="n">
        <v>121</v>
      </c>
      <c r="B122" t="inlineStr">
        <is>
          <t>거미</t>
        </is>
      </c>
      <c r="C122" t="inlineStr">
        <is>
          <t>loyalty</t>
        </is>
      </c>
      <c r="D122" s="3" t="inlineStr">
        <is>
          <t>2024년 단독 전국투어 콘서트 〈LOVE〉가 서울 등에서 진행되며 티켓 판매가 이어짐</t>
        </is>
      </c>
      <c r="E122" t="inlineStr"/>
      <c r="F122" t="inlineStr">
        <is>
          <t>N</t>
        </is>
      </c>
      <c r="G122" t="inlineStr"/>
      <c r="H122" t="inlineStr"/>
      <c r="I122" t="inlineStr"/>
    </row>
    <row r="123">
      <c r="A123" t="n">
        <v>122</v>
      </c>
      <c r="B123" t="inlineStr">
        <is>
          <t>청하</t>
        </is>
      </c>
      <c r="C123" t="inlineStr">
        <is>
          <t>spillover</t>
        </is>
      </c>
      <c r="D123" s="3" t="inlineStr">
        <is>
          <t>2026.9.1 스페인어권 시장 겨냥 디지털 싱글 'México' 발매</t>
        </is>
      </c>
      <c r="E123" t="inlineStr"/>
      <c r="F123" t="inlineStr">
        <is>
          <t>N</t>
        </is>
      </c>
      <c r="G123" t="inlineStr"/>
      <c r="H123" t="inlineStr"/>
      <c r="I123" t="inlineStr"/>
    </row>
    <row r="124">
      <c r="A124" t="n">
        <v>123</v>
      </c>
      <c r="B124" t="inlineStr">
        <is>
          <t>아이오아이</t>
        </is>
      </c>
      <c r="C124" t="inlineStr">
        <is>
          <t>loyalty</t>
        </is>
      </c>
      <c r="D124" s="3" t="inlineStr">
        <is>
          <t>업계 분석가들은 I.O.I·워너원 등 프로젝트 그룹의 재결합 동력을 "오디션을 통한 성장 서사(growth narrative)가 시간이 지나도 쉽게 사라지지 않는 팬덤을 만든다"는 점에서 찾았다 — 즉 경연 과정 자체가 장기 팬 충성도의 근원이라는 산업 분석</t>
        </is>
      </c>
      <c r="E124" t="inlineStr"/>
      <c r="F124" t="inlineStr">
        <is>
          <t>N</t>
        </is>
      </c>
      <c r="G124" t="inlineStr"/>
      <c r="H124" t="inlineStr"/>
      <c r="I124" t="inlineStr"/>
    </row>
    <row r="125">
      <c r="A125" t="n">
        <v>124</v>
      </c>
      <c r="B125" t="inlineStr">
        <is>
          <t>박효신</t>
        </is>
      </c>
      <c r="C125" t="inlineStr">
        <is>
          <t>spillover</t>
        </is>
      </c>
      <c r="D125" s="3" t="inlineStr">
        <is>
          <t>박효신은 SBS 드라마 '일지매'(2008) OST '꽃신'을 불렀다.</t>
        </is>
      </c>
      <c r="E125" t="inlineStr"/>
      <c r="F125" t="inlineStr">
        <is>
          <t>N</t>
        </is>
      </c>
      <c r="G125" t="inlineStr"/>
      <c r="H125" t="inlineStr"/>
      <c r="I125" t="inlineStr"/>
    </row>
    <row r="126">
      <c r="A126" t="n">
        <v>125</v>
      </c>
      <c r="B126" t="inlineStr">
        <is>
          <t>이찬원</t>
        </is>
      </c>
      <c r="C126" t="inlineStr">
        <is>
          <t>spillover</t>
        </is>
      </c>
      <c r="D126" s="3" t="inlineStr">
        <is>
          <t>이찬원이 KM차트 2026년 8월 월간 K-MUSIC ARTIST 부문 1위와 HOT CHOICE 남성 부문 1위를 차지하며 스트레이 키즈·방탄소년단을 제쳤다.</t>
        </is>
      </c>
      <c r="E126" t="inlineStr"/>
      <c r="F126" t="inlineStr">
        <is>
          <t>N</t>
        </is>
      </c>
      <c r="G126" t="inlineStr"/>
      <c r="H126" t="inlineStr"/>
      <c r="I126" t="inlineStr"/>
    </row>
    <row r="127">
      <c r="A127" t="n">
        <v>126</v>
      </c>
      <c r="B127" t="inlineStr">
        <is>
          <t>다이나믹듀오</t>
        </is>
      </c>
      <c r="C127" t="inlineStr">
        <is>
          <t>loyalty</t>
        </is>
      </c>
      <c r="D127" s="3" t="inlineStr">
        <is>
          <t>군 복무 후 동반 제대할 당시 300여 명의 팬과 슈프림팀이 현장에서 환영할 정도로 팬덤의 결속력이 강했다.</t>
        </is>
      </c>
      <c r="E127" t="inlineStr"/>
      <c r="F127" t="inlineStr">
        <is>
          <t>N</t>
        </is>
      </c>
      <c r="G127" t="inlineStr"/>
      <c r="H127" t="inlineStr"/>
      <c r="I127" t="inlineStr"/>
    </row>
    <row r="128">
      <c r="A128" t="n">
        <v>127</v>
      </c>
      <c r="B128" t="inlineStr">
        <is>
          <t>A-pink</t>
        </is>
      </c>
      <c r="C128" t="inlineStr">
        <is>
          <t>loyalty</t>
        </is>
      </c>
      <c r="D128" s="3" t="inlineStr">
        <is>
          <t>Apink, 태국 팬들 마음을 핑크빛으로 물들일 밀착 팬미팅 예고</t>
        </is>
      </c>
      <c r="E128" t="inlineStr"/>
      <c r="F128" t="inlineStr">
        <is>
          <t>N</t>
        </is>
      </c>
      <c r="G128" t="inlineStr"/>
      <c r="H128" t="inlineStr"/>
      <c r="I128" t="inlineStr"/>
    </row>
    <row r="129">
      <c r="A129" t="n">
        <v>128</v>
      </c>
      <c r="B129" t="inlineStr">
        <is>
          <t>보아</t>
        </is>
      </c>
      <c r="C129" t="inlineStr">
        <is>
          <t>spillover</t>
        </is>
      </c>
      <c r="D129" s="3" t="inlineStr">
        <is>
          <t>스페인 K-pop 매체 BA NA NA(bloglabanana.com)가 SM엔터테인먼트가 보아의 데뷔 20주년을 기념해 다른 아티스트들이 그의 히트곡을 재해석해 부른 헌정 프로젝트 'Our Beloved BoA'를 진행했다고 보도했다.</t>
        </is>
      </c>
      <c r="E129" t="inlineStr"/>
      <c r="F129" t="inlineStr">
        <is>
          <t>N</t>
        </is>
      </c>
      <c r="G129" t="inlineStr"/>
      <c r="H129" t="inlineStr"/>
      <c r="I129" t="inlineStr"/>
    </row>
    <row r="130">
      <c r="A130" t="n">
        <v>129</v>
      </c>
      <c r="B130" t="inlineStr">
        <is>
          <t>BTS</t>
        </is>
      </c>
      <c r="C130" t="inlineStr">
        <is>
          <t>spillover</t>
        </is>
      </c>
      <c r="D130" s="3" t="inlineStr">
        <is>
          <t>한국은행 분석에 따르면 BTS는 한국 경제에 연간 약 50억 달러(약 5조원)를 기여하며 GDP를 약 0.5%포인트 끌어올리는 효과를 냈다.</t>
        </is>
      </c>
      <c r="E130" t="inlineStr"/>
      <c r="F130" t="inlineStr">
        <is>
          <t>N</t>
        </is>
      </c>
      <c r="G130" t="inlineStr"/>
      <c r="H130" t="inlineStr"/>
      <c r="I130" t="inlineStr"/>
    </row>
    <row r="131">
      <c r="A131" s="4" t="n">
        <v>130</v>
      </c>
      <c r="B131" s="4" t="inlineStr">
        <is>
          <t>정동원</t>
        </is>
      </c>
      <c r="C131" s="4" t="inlineStr">
        <is>
          <t>spillover</t>
        </is>
      </c>
      <c r="D131" s="5" t="inlineStr">
        <is>
          <t>Became a seolleongtang brand model, which coincided with the fan cafe's 18,300-bowl donation drive.</t>
        </is>
      </c>
      <c r="E131" s="4" t="inlineStr"/>
      <c r="F131" s="4" t="inlineStr">
        <is>
          <t>Y</t>
        </is>
      </c>
      <c r="G131" s="4" t="inlineStr">
        <is>
          <t>brand model (영문)</t>
        </is>
      </c>
      <c r="H131" s="4" t="inlineStr"/>
      <c r="I131" s="4" t="inlineStr"/>
    </row>
    <row r="132">
      <c r="A132" t="n">
        <v>131</v>
      </c>
      <c r="B132" t="inlineStr">
        <is>
          <t>빅마마</t>
        </is>
      </c>
      <c r="C132" t="inlineStr">
        <is>
          <t>spillover</t>
        </is>
      </c>
      <c r="D132" s="3" t="inlineStr">
        <is>
          <t>2021년 재결합 이후 빅마마는 딩고 킬링보이스, 유희열의 스케치북, 유 퀴즈 온 더 블럭, 놀면 뭐하니? 등 주요 방송 프로그램에 출연했다.</t>
        </is>
      </c>
      <c r="E132" t="inlineStr"/>
      <c r="F132" t="inlineStr">
        <is>
          <t>N</t>
        </is>
      </c>
      <c r="G132" t="inlineStr"/>
      <c r="H132" t="inlineStr"/>
      <c r="I132" t="inlineStr"/>
    </row>
    <row r="133">
      <c r="A133" t="n">
        <v>132</v>
      </c>
      <c r="B133" t="inlineStr">
        <is>
          <t>정동원</t>
        </is>
      </c>
      <c r="C133" t="inlineStr">
        <is>
          <t>spillover</t>
        </is>
      </c>
      <c r="D133" s="3" t="inlineStr">
        <is>
          <t>미국 연예매체 allkpop은 트로트 가수 정동원(활동명 JD1)이 약 2년간 안무·스타일링을 준비해 신곡 'Who Am I'를 발표하고 댄스 중심 아이돌 그룹 결성을 위한 오디션을 진행 중이라고 보도했다.</t>
        </is>
      </c>
      <c r="E133" t="inlineStr"/>
      <c r="F133" t="inlineStr">
        <is>
          <t>N</t>
        </is>
      </c>
      <c r="G133" t="inlineStr"/>
      <c r="H133" t="inlineStr"/>
      <c r="I133" t="inlineStr"/>
    </row>
    <row r="134">
      <c r="A134" t="n">
        <v>133</v>
      </c>
      <c r="B134" t="inlineStr">
        <is>
          <t>동방신기</t>
        </is>
      </c>
      <c r="C134" t="inlineStr">
        <is>
          <t>spillover</t>
        </is>
      </c>
      <c r="D134" s="3" t="inlineStr">
        <is>
          <t>TVXQ set a record as the first act with the most performances at Nissan Stadium, Japan in 2026</t>
        </is>
      </c>
      <c r="E134" t="inlineStr"/>
      <c r="F134" t="inlineStr">
        <is>
          <t>N</t>
        </is>
      </c>
      <c r="G134" t="inlineStr"/>
      <c r="H134" t="inlineStr"/>
      <c r="I134" t="inlineStr"/>
    </row>
    <row r="135">
      <c r="A135" t="n">
        <v>134</v>
      </c>
      <c r="B135" t="inlineStr">
        <is>
          <t>BTOB</t>
        </is>
      </c>
      <c r="C135" t="inlineStr">
        <is>
          <t>loyalty</t>
        </is>
      </c>
      <c r="D135" s="3" t="inlineStr">
        <is>
          <t>2024년 7년 만에 마닐라에서 'Our Dream' 아시아투어 첫 스타트를 끊으며 필리핀 팬들에게 '정말 감사하다'고 밝힘</t>
        </is>
      </c>
      <c r="E135" t="inlineStr"/>
      <c r="F135" t="inlineStr">
        <is>
          <t>N</t>
        </is>
      </c>
      <c r="G135" t="inlineStr"/>
      <c r="H135" t="inlineStr"/>
      <c r="I135" t="inlineStr"/>
    </row>
    <row r="136">
      <c r="A136" t="n">
        <v>135</v>
      </c>
      <c r="B136" t="inlineStr">
        <is>
          <t>BABYMONSTER</t>
        </is>
      </c>
      <c r="C136" t="inlineStr">
        <is>
          <t>loyalty</t>
        </is>
      </c>
      <c r="D136" s="3" t="inlineStr">
        <is>
          <t>태국 방콕 팬미팅(2024.8.30)에서 파리타·치키타가 가족·친구 앞 첫 무대</t>
        </is>
      </c>
      <c r="E136" t="inlineStr"/>
      <c r="F136" t="inlineStr">
        <is>
          <t>N</t>
        </is>
      </c>
      <c r="G136" t="inlineStr"/>
      <c r="H136" t="inlineStr"/>
      <c r="I136" t="inlineStr"/>
    </row>
    <row r="137">
      <c r="A137" t="n">
        <v>136</v>
      </c>
      <c r="B137" t="inlineStr">
        <is>
          <t>이승철</t>
        </is>
      </c>
      <c r="C137" t="inlineStr">
        <is>
          <t>loyalty</t>
        </is>
      </c>
      <c r="D137" s="3" t="inlineStr">
        <is>
          <t>Active concert schedule continuing into 2025-2026 with "오케스트락" concert series (오케스트락2 in 2025, 오케스트락3 listed on KOPIS) reflecting sustained demand for orchestral-format shows</t>
        </is>
      </c>
      <c r="E137" t="inlineStr"/>
      <c r="F137" t="inlineStr">
        <is>
          <t>N</t>
        </is>
      </c>
      <c r="G137" t="inlineStr"/>
      <c r="H137" t="inlineStr"/>
      <c r="I137" t="inlineStr"/>
    </row>
    <row r="138">
      <c r="A138" t="n">
        <v>137</v>
      </c>
      <c r="B138" t="inlineStr">
        <is>
          <t>GOT7</t>
        </is>
      </c>
      <c r="C138" t="inlineStr">
        <is>
          <t>spillover</t>
        </is>
      </c>
      <c r="D138" s="3" t="inlineStr">
        <is>
          <t>갓세븐은 2019년 포브스코리아가 발표한 '파워 셀러브리티 40'에서 37위에 올라 음악 산업을 넘어선 대중적 영향력을 인정받았다.</t>
        </is>
      </c>
      <c r="E138" t="inlineStr"/>
      <c r="F138" t="inlineStr">
        <is>
          <t>N</t>
        </is>
      </c>
      <c r="G138" t="inlineStr"/>
      <c r="H138" t="inlineStr"/>
      <c r="I138" t="inlineStr"/>
    </row>
    <row r="139">
      <c r="A139" t="n">
        <v>138</v>
      </c>
      <c r="B139" t="inlineStr">
        <is>
          <t>레드벨벳</t>
        </is>
      </c>
      <c r="C139" t="inlineStr">
        <is>
          <t>spillover</t>
        </is>
      </c>
      <c r="D139" s="3" t="inlineStr">
        <is>
          <t>데뷔 10주년 기념 다큐멘터리가 브라질 극장에서 개봉한다고 브라질 문화매체 JWave가 보도</t>
        </is>
      </c>
      <c r="E139" t="inlineStr"/>
      <c r="F139" t="inlineStr">
        <is>
          <t>N</t>
        </is>
      </c>
      <c r="G139" t="inlineStr"/>
      <c r="H139" t="inlineStr"/>
      <c r="I139" t="inlineStr"/>
    </row>
    <row r="140">
      <c r="A140" t="n">
        <v>139</v>
      </c>
      <c r="B140" t="inlineStr">
        <is>
          <t>임영웅</t>
        </is>
      </c>
      <c r="C140" t="inlineStr">
        <is>
          <t>spillover</t>
        </is>
      </c>
      <c r="D140" s="3" t="inlineStr">
        <is>
          <t>데뷔 앨범 'IM HERO' 초동 판매량이 110만 장을 넘어 솔로 가수 신기록을 세웠다.</t>
        </is>
      </c>
      <c r="E140" t="inlineStr"/>
      <c r="F140" t="inlineStr">
        <is>
          <t>N</t>
        </is>
      </c>
      <c r="G140" t="inlineStr"/>
      <c r="H140" t="inlineStr"/>
      <c r="I140" t="inlineStr"/>
    </row>
    <row r="141">
      <c r="A141" t="n">
        <v>140</v>
      </c>
      <c r="B141" t="inlineStr">
        <is>
          <t>보아</t>
        </is>
      </c>
      <c r="C141" t="inlineStr">
        <is>
          <t>spillover</t>
        </is>
      </c>
      <c r="D141" s="3" t="inlineStr">
        <is>
          <t>중국 대형 뉴스 포털 시나닷컴(sina.cn)이 BoA의 근황을 보도하며, 그녀가 2024년 7월 19일부터 21일까지 마카오 갤럭시 아레나에서 열리는 중화권 음악 축제 "2024 TMEA 5th 腾讯"에 출연한다고 전했다. 기사는 은퇴설로 팬들이 불안해했으나 그녀가 직접 "계약 만료일은 2025년 12월 31일이며, 그때까지 가수 BoA로서 행복하게 최선을 다하겠다"고 밝혔다고 인용했다.</t>
        </is>
      </c>
      <c r="E141" t="inlineStr"/>
      <c r="F141" t="inlineStr">
        <is>
          <t>N</t>
        </is>
      </c>
      <c r="G141" t="inlineStr"/>
      <c r="H141" t="inlineStr"/>
      <c r="I141" t="inlineStr"/>
    </row>
    <row r="142">
      <c r="A142" t="n">
        <v>141</v>
      </c>
      <c r="B142" t="inlineStr">
        <is>
          <t>김동률</t>
        </is>
      </c>
      <c r="C142" t="inlineStr">
        <is>
          <t>loyalty</t>
        </is>
      </c>
      <c r="D142" s="3" t="inlineStr">
        <is>
          <t>2018년 한 매체의 결혼식 축가 인기 순위 조사에서 김동률·이소은의 듀엣곡 '기적'이 5위에 올랐다.</t>
        </is>
      </c>
      <c r="E142" t="inlineStr"/>
      <c r="F142" t="inlineStr">
        <is>
          <t>N</t>
        </is>
      </c>
      <c r="G142" t="inlineStr"/>
      <c r="H142" t="inlineStr"/>
      <c r="I142" t="inlineStr"/>
    </row>
    <row r="143">
      <c r="A143" t="n">
        <v>142</v>
      </c>
      <c r="B143" t="inlineStr">
        <is>
          <t>BTS</t>
        </is>
      </c>
      <c r="C143" t="inlineStr">
        <is>
          <t>spillover</t>
        </is>
      </c>
      <c r="D143" s="3" t="inlineStr">
        <is>
          <t>한국은행 추산에 따르면 BTS는 한국 경제에 연간 약 50억 달러(GDP 약 0.5%)를 기여하는 것으로 나타났다</t>
        </is>
      </c>
      <c r="E143" t="inlineStr"/>
      <c r="F143" t="inlineStr">
        <is>
          <t>N</t>
        </is>
      </c>
      <c r="G143" t="inlineStr"/>
      <c r="H143" t="inlineStr"/>
      <c r="I143" t="inlineStr"/>
    </row>
    <row r="144">
      <c r="A144" t="n">
        <v>143</v>
      </c>
      <c r="B144" t="inlineStr">
        <is>
          <t>NewJeans</t>
        </is>
      </c>
      <c r="C144" t="inlineStr">
        <is>
          <t>loyalty</t>
        </is>
      </c>
      <c r="D144" s="3" t="inlineStr">
        <is>
          <t>News.qq.com reported on member Hyein/Haerin(姜谐潾)'s magazine-cover solo comeback activity after returning to ADOR</t>
        </is>
      </c>
      <c r="E144" t="inlineStr"/>
      <c r="F144" t="inlineStr">
        <is>
          <t>N</t>
        </is>
      </c>
      <c r="G144" t="inlineStr"/>
      <c r="H144" t="inlineStr"/>
      <c r="I144" t="inlineStr"/>
    </row>
    <row r="145">
      <c r="A145" t="n">
        <v>144</v>
      </c>
      <c r="B145" t="inlineStr">
        <is>
          <t>엔믹스</t>
        </is>
      </c>
      <c r="C145" t="inlineStr">
        <is>
          <t>loyalty</t>
        </is>
      </c>
      <c r="D145" s="3" t="inlineStr">
        <is>
          <t>NMIXX 가오슝 공연(7/11·7/12 양일간) 소식을 Yahoo奇摩新聞(대만)이 보도.</t>
        </is>
      </c>
      <c r="E145" t="inlineStr"/>
      <c r="F145" t="inlineStr">
        <is>
          <t>N</t>
        </is>
      </c>
      <c r="G145" t="inlineStr"/>
      <c r="H145" t="inlineStr"/>
      <c r="I145" t="inlineStr"/>
    </row>
    <row r="146">
      <c r="A146" t="n">
        <v>145</v>
      </c>
      <c r="B146" t="inlineStr">
        <is>
          <t>Crush</t>
        </is>
      </c>
      <c r="C146" t="inlineStr">
        <is>
          <t>spillover</t>
        </is>
      </c>
      <c r="D146" s="3" t="inlineStr">
        <is>
          <t>Zico와 함께 '쇼미더머니12'(2026.1.15~) 프로듀서로 참여, 팀원 김하온이 우승하며 예능·힙합 신에서 영향력을 확장했다</t>
        </is>
      </c>
      <c r="E146" t="inlineStr"/>
      <c r="F146" t="inlineStr">
        <is>
          <t>N</t>
        </is>
      </c>
      <c r="G146" t="inlineStr"/>
      <c r="H146" t="inlineStr"/>
      <c r="I146" t="inlineStr"/>
    </row>
    <row r="147">
      <c r="A147" t="n">
        <v>146</v>
      </c>
      <c r="B147" t="inlineStr">
        <is>
          <t>조용필</t>
        </is>
      </c>
      <c r="C147" t="inlineStr">
        <is>
          <t>loyalty</t>
        </is>
      </c>
      <c r="D147" s="3" t="inlineStr">
        <is>
          <t>2025년 8월 KBS 특별 콘서트 1차 티켓이 오픈 3분 만에 100% 예매율을 달성하며 매진됨.</t>
        </is>
      </c>
      <c r="E147" t="inlineStr"/>
      <c r="F147" t="inlineStr">
        <is>
          <t>N</t>
        </is>
      </c>
      <c r="G147" t="inlineStr"/>
      <c r="H147" t="inlineStr"/>
      <c r="I147" t="inlineStr"/>
    </row>
    <row r="148">
      <c r="A148" t="n">
        <v>147</v>
      </c>
      <c r="B148" t="inlineStr">
        <is>
          <t>이찬원</t>
        </is>
      </c>
      <c r="C148" t="inlineStr">
        <is>
          <t>loyalty</t>
        </is>
      </c>
      <c r="D148" s="3" t="inlineStr">
        <is>
          <t>이찬원 팬클럽 '찬스'는 2026년 3월 데뷔 6주년을 기념해 아름다운재단에 약 2365만원을 기부했으며, 이 기부금은 자립준비청년의 학업생활보조비 및 진로탐색 활동 지원에 쓰인다.</t>
        </is>
      </c>
      <c r="E148" t="inlineStr"/>
      <c r="F148" t="inlineStr">
        <is>
          <t>N</t>
        </is>
      </c>
      <c r="G148" t="inlineStr"/>
      <c r="H148" t="inlineStr"/>
      <c r="I148" t="inlineStr"/>
    </row>
    <row r="149">
      <c r="A149" t="n">
        <v>148</v>
      </c>
      <c r="B149" t="inlineStr">
        <is>
          <t>엄정화</t>
        </is>
      </c>
      <c r="C149" t="inlineStr">
        <is>
          <t>loyalty</t>
        </is>
      </c>
      <c r="D149" s="3" t="inlineStr">
        <is>
          <t>엄정화는 2023년 12월 서울(잠실학생체육관)·대구(EXCO)·부산(BEXCO) 등 3개 도시에서 총 4회, 20여 년 만의 단독 콘서트 '초대'를 열었다.</t>
        </is>
      </c>
      <c r="E149" t="inlineStr"/>
      <c r="F149" t="inlineStr">
        <is>
          <t>N</t>
        </is>
      </c>
      <c r="G149" t="inlineStr"/>
      <c r="H149" t="inlineStr"/>
      <c r="I149" t="inlineStr"/>
    </row>
    <row r="150">
      <c r="A150" t="n">
        <v>149</v>
      </c>
      <c r="B150" t="inlineStr">
        <is>
          <t>볼빨간사춘기</t>
        </is>
      </c>
      <c r="C150" t="inlineStr">
        <is>
          <t>loyalty</t>
        </is>
      </c>
      <c r="D150" s="3" t="inlineStr">
        <is>
          <t>Held year-end solo concerts Dec 30-31, 2025 to perform their new comeback album "Merry Go Round" live for fans.</t>
        </is>
      </c>
      <c r="E150" t="inlineStr"/>
      <c r="F150" t="inlineStr">
        <is>
          <t>N</t>
        </is>
      </c>
      <c r="G150" t="inlineStr"/>
      <c r="H150" t="inlineStr"/>
      <c r="I150" t="inlineStr"/>
    </row>
    <row r="151">
      <c r="A151" t="n">
        <v>150</v>
      </c>
      <c r="B151" t="inlineStr">
        <is>
          <t>CORTIS</t>
        </is>
      </c>
      <c r="C151" t="inlineStr">
        <is>
          <t>loyalty</t>
        </is>
      </c>
      <c r="D151" s="3" t="inlineStr">
        <is>
          <t>CORTIS가 2026년 알로뱅크 페스티벌에서 인도네시아 아레나 무대에 오른다는 기사(스트리밍 가능).</t>
        </is>
      </c>
      <c r="E151" t="inlineStr"/>
      <c r="F151" t="inlineStr">
        <is>
          <t>N</t>
        </is>
      </c>
      <c r="G151" t="inlineStr"/>
      <c r="H151" t="inlineStr"/>
      <c r="I151" t="inlineStr"/>
    </row>
    <row r="152">
      <c r="A152" t="n">
        <v>151</v>
      </c>
      <c r="B152" t="inlineStr">
        <is>
          <t>투어스(TWS)</t>
        </is>
      </c>
      <c r="C152" t="inlineStr">
        <is>
          <t>spillover</t>
        </is>
      </c>
      <c r="D152" s="3" t="inlineStr">
        <is>
          <t>TWS won two awards at the 40th Japan Gold Disc Awards — 'New Artist of the Year (Asia)' and 'Best 3 New Artist (Asia)' — after their July 2025 Japanese debut single 'Nice to see you again' earned four gold certifications in its first week and topped major Japanese charts, with platinum certification (250,000+ shipments) from the Japan Records Association.</t>
        </is>
      </c>
      <c r="E152" t="inlineStr"/>
      <c r="F152" t="inlineStr">
        <is>
          <t>N</t>
        </is>
      </c>
      <c r="G152" t="inlineStr"/>
      <c r="H152" t="inlineStr"/>
      <c r="I152" t="inlineStr"/>
    </row>
    <row r="153">
      <c r="A153" t="n">
        <v>152</v>
      </c>
      <c r="B153" t="inlineStr">
        <is>
          <t>잔나비</t>
        </is>
      </c>
      <c r="C153" t="inlineStr">
        <is>
          <t>spillover</t>
        </is>
      </c>
      <c r="D153" s="3" t="inlineStr">
        <is>
          <t>대만 매체 udn 산하 문화 매체 500 Times가 잔나비(JANNABI)의 첫 아시아투어 'Sweat &amp; Stardust' 타이베이 공연(2026년 6월 27일, TICC)을 보도했다. 기사는 잔나비를 "隱藏在K-POP光芒背後、韓國獨有抒情性的樂團"(K팝의 화려함 뒤에 숨어 있는, 한국 고유의 서정성을 지닌 밴드)이라고 소개했다.</t>
        </is>
      </c>
      <c r="E153" t="inlineStr"/>
      <c r="F153" t="inlineStr">
        <is>
          <t>N</t>
        </is>
      </c>
      <c r="G153" t="inlineStr"/>
      <c r="H153" t="inlineStr"/>
      <c r="I153" t="inlineStr"/>
    </row>
    <row r="154">
      <c r="A154" t="n">
        <v>153</v>
      </c>
      <c r="B154" t="inlineStr">
        <is>
          <t>윤하</t>
        </is>
      </c>
      <c r="C154" t="inlineStr">
        <is>
          <t>loyalty</t>
        </is>
      </c>
      <c r="D154" s="3" t="inlineStr">
        <is>
          <t>'End Theory' 리패키지 타이틀곡 'Event Horizon'이 2022년 11월 주요 음원차트에서 퍼펙트 올킬을 달성하고 SBS 인기가요 3주 연속 1위를 기록하며 팬덤의 스트리밍·투표 화력이 지속적으로 뒷받침되었음</t>
        </is>
      </c>
      <c r="E154" t="inlineStr"/>
      <c r="F154" t="inlineStr">
        <is>
          <t>N</t>
        </is>
      </c>
      <c r="G154" t="inlineStr"/>
      <c r="H154" t="inlineStr"/>
      <c r="I154" t="inlineStr"/>
    </row>
    <row r="155">
      <c r="A155" t="n">
        <v>154</v>
      </c>
      <c r="B155" t="inlineStr">
        <is>
          <t>소녀시대</t>
        </is>
      </c>
      <c r="C155" t="inlineStr">
        <is>
          <t>loyalty</t>
        </is>
      </c>
      <c r="D155" s="3" t="inlineStr">
        <is>
          <t>2015년 한국 가수 최초로 음악방송 통산 100승을 달성했다</t>
        </is>
      </c>
      <c r="E155" t="inlineStr"/>
      <c r="F155" t="inlineStr">
        <is>
          <t>N</t>
        </is>
      </c>
      <c r="G155" t="inlineStr"/>
      <c r="H155" t="inlineStr"/>
      <c r="I155" t="inlineStr"/>
    </row>
    <row r="156">
      <c r="A156" t="n">
        <v>155</v>
      </c>
      <c r="B156" t="inlineStr">
        <is>
          <t>성시경</t>
        </is>
      </c>
      <c r="C156" t="inlineStr">
        <is>
          <t>spillover</t>
        </is>
      </c>
      <c r="D156" s="3" t="inlineStr">
        <is>
          <t>성시경이 예능 '소라와 진경'에 출연해 '고려청자룩'이라는 패션 혹평을 받은 사연에 대해 직접 입을 열었다.</t>
        </is>
      </c>
      <c r="E156" t="inlineStr"/>
      <c r="F156" t="inlineStr">
        <is>
          <t>N</t>
        </is>
      </c>
      <c r="G156" t="inlineStr"/>
      <c r="H156" t="inlineStr"/>
      <c r="I156" t="inlineStr"/>
    </row>
    <row r="157">
      <c r="A157" t="n">
        <v>156</v>
      </c>
      <c r="B157" t="inlineStr">
        <is>
          <t>지코</t>
        </is>
      </c>
      <c r="C157" t="inlineStr">
        <is>
          <t>spillover</t>
        </is>
      </c>
      <c r="D157" s="3" t="inlineStr">
        <is>
          <t>제니와 함께한 'SPOT!'(2024)은 iTunes 톱송 차트에서 최소 31개 지역 1위, 한국 내 멜론·벅스·지니 실시간 차트도 발매 수시간 내 석권함</t>
        </is>
      </c>
      <c r="E157" t="inlineStr"/>
      <c r="F157" t="inlineStr">
        <is>
          <t>N</t>
        </is>
      </c>
      <c r="G157" t="inlineStr"/>
      <c r="H157" t="inlineStr"/>
      <c r="I157" t="inlineStr"/>
    </row>
    <row r="158">
      <c r="A158" t="n">
        <v>157</v>
      </c>
      <c r="B158" t="inlineStr">
        <is>
          <t>엔믹스</t>
        </is>
      </c>
      <c r="C158" t="inlineStr">
        <is>
          <t>spillover</t>
        </is>
      </c>
      <c r="D158" s="3" t="inlineStr">
        <is>
          <t>2026년 2월 16일 브라질 상파울루 카니발에 K팝 그룹 최초로 참여했다.</t>
        </is>
      </c>
      <c r="E158" t="inlineStr"/>
      <c r="F158" t="inlineStr">
        <is>
          <t>N</t>
        </is>
      </c>
      <c r="G158" t="inlineStr"/>
      <c r="H158" t="inlineStr"/>
      <c r="I158" t="inlineStr"/>
    </row>
    <row r="159">
      <c r="A159" s="4" t="n">
        <v>158</v>
      </c>
      <c r="B159" s="4" t="inlineStr">
        <is>
          <t>LE SSERAFIM</t>
        </is>
      </c>
      <c r="C159" s="4" t="inlineStr">
        <is>
          <t>spillover</t>
        </is>
      </c>
      <c r="D159" s="5" t="inlineStr">
        <is>
          <t>카즈하, 에뛰드(ETUDE) 신규 비주얼 화보 공개를 오리콘 뉴스가 보도</t>
        </is>
      </c>
      <c r="E159" s="4" t="inlineStr"/>
      <c r="F159" s="4" t="inlineStr">
        <is>
          <t>Y</t>
        </is>
      </c>
      <c r="G159" s="4" t="inlineStr">
        <is>
          <t>브랜드 화보 공개(에뛰드) — '화보 촬영'만 사전에 있음</t>
        </is>
      </c>
      <c r="H159" s="4" t="inlineStr"/>
      <c r="I159" s="4" t="inlineStr"/>
    </row>
    <row r="160">
      <c r="A160" t="n">
        <v>159</v>
      </c>
      <c r="B160" t="inlineStr">
        <is>
          <t>김재중</t>
        </is>
      </c>
      <c r="C160" t="inlineStr">
        <is>
          <t>loyalty</t>
        </is>
      </c>
      <c r="D160" s="3" t="inlineStr">
        <is>
          <t>김재중은 2019년 강원도 산불 피해 주민들에게 1,000만 원을 기부했다.</t>
        </is>
      </c>
      <c r="E160" t="inlineStr"/>
      <c r="F160" t="inlineStr">
        <is>
          <t>N</t>
        </is>
      </c>
      <c r="G160" t="inlineStr"/>
      <c r="H160" t="inlineStr"/>
      <c r="I160" t="inlineStr"/>
    </row>
    <row r="161">
      <c r="A161" s="4" t="n">
        <v>160</v>
      </c>
      <c r="B161" s="4" t="inlineStr">
        <is>
          <t>EXO</t>
        </is>
      </c>
      <c r="C161" s="4" t="inlineStr">
        <is>
          <t>spillover</t>
        </is>
      </c>
      <c r="D161" s="5" t="inlineStr">
        <is>
          <t>Served as Samsung brand ambassadors for the 2014 Summer Youth Olympics, MLB Asia ambassadors (March 2018), and Korean Tourism Ambassadors (July 2018)</t>
        </is>
      </c>
      <c r="E161" s="4" t="inlineStr"/>
      <c r="F161" s="4" t="inlineStr">
        <is>
          <t>Y</t>
        </is>
      </c>
      <c r="G161" s="4" t="inlineStr">
        <is>
          <t>brand ambassadors (영문)</t>
        </is>
      </c>
      <c r="H161" s="4" t="inlineStr"/>
      <c r="I161" s="4" t="inlineStr"/>
    </row>
    <row r="162">
      <c r="A162" t="n">
        <v>161</v>
      </c>
      <c r="B162" t="inlineStr">
        <is>
          <t>NewJeans</t>
        </is>
      </c>
      <c r="C162" t="inlineStr">
        <is>
          <t>loyalty</t>
        </is>
      </c>
      <c r="D162" s="3" t="inlineStr">
        <is>
          <t>데뷔 EP 'New Jeans'는 발매 당일 26만 2,800장이 판매되며 레이블 선배 그룹의 기존 기록을 넘어섰고, 이후 한국음악콘텐츠협회 밀리언 인증(124만 3,690장)을 받았다.</t>
        </is>
      </c>
      <c r="E162" t="inlineStr"/>
      <c r="F162" t="inlineStr">
        <is>
          <t>N</t>
        </is>
      </c>
      <c r="G162" t="inlineStr"/>
      <c r="H162" t="inlineStr"/>
      <c r="I162" t="inlineStr"/>
    </row>
    <row r="163">
      <c r="A163" t="n">
        <v>162</v>
      </c>
      <c r="B163" t="inlineStr">
        <is>
          <t>(여자)아이들</t>
        </is>
      </c>
      <c r="C163" t="inlineStr">
        <is>
          <t>spillover</t>
        </is>
      </c>
      <c r="D163" s="3" t="inlineStr">
        <is>
          <t>(여자)아이들 전소연은 2026년 2월 한 인터뷰에서 개인 채널 운영과 앨범 제작 과정에서 겪는 극심한 심리적 부담감을 고백하며 "죽을까 봐 제일 걱정"이라고 말해, 월 10억 원대 저작권 수입으로 화제였던 이후 정신적 스트레스 관리 문제가 재조명됐다.</t>
        </is>
      </c>
      <c r="E163" t="inlineStr"/>
      <c r="F163" t="inlineStr">
        <is>
          <t>N</t>
        </is>
      </c>
      <c r="G163" t="inlineStr"/>
      <c r="H163" t="inlineStr"/>
      <c r="I163" t="inlineStr"/>
    </row>
    <row r="164">
      <c r="A164" t="n">
        <v>163</v>
      </c>
      <c r="B164" t="inlineStr">
        <is>
          <t>CNBLUE</t>
        </is>
      </c>
      <c r="C164" t="inlineStr">
        <is>
          <t>loyalty</t>
        </is>
      </c>
      <c r="D164" s="3" t="inlineStr">
        <is>
          <t>2012년 2월 일본 발매곡 'Where You Are'가 오리콘 싱글차트 1위에 오르며, 1971년 이후 41년 만에 오리콘 싱글 1위를 차지한 최초의 외국 밴드가 됐다.</t>
        </is>
      </c>
      <c r="E164" t="inlineStr"/>
      <c r="F164" t="inlineStr">
        <is>
          <t>N</t>
        </is>
      </c>
      <c r="G164" t="inlineStr"/>
      <c r="H164" t="inlineStr"/>
      <c r="I164" t="inlineStr"/>
    </row>
    <row r="165">
      <c r="A165" t="n">
        <v>164</v>
      </c>
      <c r="B165" t="inlineStr">
        <is>
          <t>이효리</t>
        </is>
      </c>
      <c r="C165" t="inlineStr">
        <is>
          <t>loyalty</t>
        </is>
      </c>
      <c r="D165" s="3" t="inlineStr">
        <is>
          <t>이효리는 2011년 팬들과 함께 연탄 배달 봉사 활동을 했다.</t>
        </is>
      </c>
      <c r="E165" t="inlineStr"/>
      <c r="F165" t="inlineStr">
        <is>
          <t>N</t>
        </is>
      </c>
      <c r="G165" t="inlineStr"/>
      <c r="H165" t="inlineStr"/>
      <c r="I165" t="inlineStr"/>
    </row>
    <row r="166">
      <c r="A166" t="n">
        <v>165</v>
      </c>
      <c r="B166" t="inlineStr">
        <is>
          <t>지코</t>
        </is>
      </c>
      <c r="C166" t="inlineStr">
        <is>
          <t>loyalty</t>
        </is>
      </c>
      <c r="D166" s="3" t="inlineStr">
        <is>
          <t>ZICO 'King of the Zungle Tour in Bangkok' 방콕 단독 콘서트 개최, 모든 스킬을 쏟아낸 무대</t>
        </is>
      </c>
      <c r="E166" t="inlineStr"/>
      <c r="F166" t="inlineStr">
        <is>
          <t>N</t>
        </is>
      </c>
      <c r="G166" t="inlineStr"/>
      <c r="H166" t="inlineStr"/>
      <c r="I166" t="inlineStr"/>
    </row>
    <row r="167">
      <c r="A167" t="n">
        <v>166</v>
      </c>
      <c r="B167" t="inlineStr">
        <is>
          <t>STAYC</t>
        </is>
      </c>
      <c r="C167" t="inlineStr">
        <is>
          <t>loyalty</t>
        </is>
      </c>
      <c r="D167" s="3" t="inlineStr">
        <is>
          <t>STAYC switched fan club SWITH from seasonal to year-round open registration via Weverse Shop starting June 16, 2025, with new fandom mascot "WITHC".</t>
        </is>
      </c>
      <c r="E167" t="inlineStr"/>
      <c r="F167" t="inlineStr">
        <is>
          <t>N</t>
        </is>
      </c>
      <c r="G167" t="inlineStr"/>
      <c r="H167" t="inlineStr"/>
      <c r="I167" t="inlineStr"/>
    </row>
    <row r="168">
      <c r="A168" t="n">
        <v>167</v>
      </c>
      <c r="B168" t="inlineStr">
        <is>
          <t>나훈아</t>
        </is>
      </c>
      <c r="C168" t="inlineStr">
        <is>
          <t>spillover</t>
        </is>
      </c>
      <c r="D168" s="3" t="inlineStr">
        <is>
          <t>His national retirement tour ran across Incheon (Apr 2024), Daegu (Dec 7-8), Busan (Dec 14-15), concluding in Seoul (Jan 10-12, 2025) as a marquee media event marking the end of a 59-year career.</t>
        </is>
      </c>
      <c r="E168" t="inlineStr"/>
      <c r="F168" t="inlineStr">
        <is>
          <t>N</t>
        </is>
      </c>
      <c r="G168" t="inlineStr"/>
      <c r="H168" t="inlineStr"/>
      <c r="I168" t="inlineStr"/>
    </row>
    <row r="169">
      <c r="A169" t="n">
        <v>168</v>
      </c>
      <c r="B169" t="inlineStr">
        <is>
          <t>IKON</t>
        </is>
      </c>
      <c r="C169" t="inlineStr">
        <is>
          <t>loyalty</t>
        </is>
      </c>
      <c r="D169" s="3" t="inlineStr">
        <is>
          <t>As of August 2026, iKON's "FOUREVER WORLD TOUR" had completed 8 cities (Seoul, Macau, Tokyo, Bangkok, Manila, Taipei, Singapore, Kobe); agency 143 Entertainment said the shows drew "enthusiastic responses" from IKONIC fans met across multiple countries</t>
        </is>
      </c>
      <c r="E169" t="inlineStr"/>
      <c r="F169" t="inlineStr">
        <is>
          <t>N</t>
        </is>
      </c>
      <c r="G169" t="inlineStr"/>
      <c r="H169" t="inlineStr"/>
      <c r="I169" t="inlineStr"/>
    </row>
    <row r="170">
      <c r="A170" t="n">
        <v>169</v>
      </c>
      <c r="B170" t="inlineStr">
        <is>
          <t>송가인</t>
        </is>
      </c>
      <c r="C170" t="inlineStr">
        <is>
          <t>spillover</t>
        </is>
      </c>
      <c r="D170" s="3" t="inlineStr">
        <is>
          <t>스타뉴스가 2026년 8월 23일 보도한 8월 트로트 가수 브랜드평판 빅데이터 순위에서 송가인이 7위에 올랐다.</t>
        </is>
      </c>
      <c r="E170" t="inlineStr"/>
      <c r="F170" t="inlineStr">
        <is>
          <t>N</t>
        </is>
      </c>
      <c r="G170" t="inlineStr"/>
      <c r="H170" t="inlineStr"/>
      <c r="I170" t="inlineStr"/>
    </row>
    <row r="171">
      <c r="A171" t="n">
        <v>170</v>
      </c>
      <c r="B171" t="inlineStr">
        <is>
          <t>Stray Kids</t>
        </is>
      </c>
      <c r="C171" t="inlineStr">
        <is>
          <t>spillover</t>
        </is>
      </c>
      <c r="D171" s="3" t="inlineStr">
        <is>
          <t>인도네시아 Kompas는 2022년 11월 자카르타 첫 단독 콘서트, 2024년 12월 재방문 콘서트 발표를 각각 별도 기사로 다뤄, Stray Kids의 인도네시아 공연이 반복되는 대형 이벤트 산업으로 자리잡았음을 보여준다</t>
        </is>
      </c>
      <c r="E171" t="inlineStr"/>
      <c r="F171" t="inlineStr">
        <is>
          <t>N</t>
        </is>
      </c>
      <c r="G171" t="inlineStr"/>
      <c r="H171" t="inlineStr"/>
      <c r="I171" t="inlineStr"/>
    </row>
    <row r="172">
      <c r="A172" t="n">
        <v>171</v>
      </c>
      <c r="B172" t="inlineStr">
        <is>
          <t>권은비</t>
        </is>
      </c>
      <c r="C172" t="inlineStr">
        <is>
          <t>spillover</t>
        </is>
      </c>
      <c r="D172" s="3" t="inlineStr">
        <is>
          <t>스페인 K팝 매체 바나나(BA NA NA)가 권은비가 미니 2집 '컬러(Color)' 타이틀곡 '글리치(Glitch)' 발매 인터뷰에서 불면의 밤을 위로하는 곡 'OFF'에 대해 설명했다고 보도했다.</t>
        </is>
      </c>
      <c r="E172" t="inlineStr"/>
      <c r="F172" t="inlineStr">
        <is>
          <t>N</t>
        </is>
      </c>
      <c r="G172" t="inlineStr"/>
      <c r="H172" t="inlineStr"/>
      <c r="I172" t="inlineStr"/>
    </row>
    <row r="173">
      <c r="A173" t="n">
        <v>172</v>
      </c>
      <c r="B173" t="inlineStr">
        <is>
          <t>이문세</t>
        </is>
      </c>
      <c r="C173" t="inlineStr">
        <is>
          <t>loyalty</t>
        </is>
      </c>
      <c r="D173" s="3" t="inlineStr">
        <is>
          <t>팬 커뮤니티 '마굿간'을 중심으로 유튜브·인스타그램 등에서 활발히 소통하고 있으며, 2025년 7월 7일부터 MBC FM4U 새 라디오 프로그램을 진행 중이다</t>
        </is>
      </c>
      <c r="E173" t="inlineStr"/>
      <c r="F173" t="inlineStr">
        <is>
          <t>N</t>
        </is>
      </c>
      <c r="G173" t="inlineStr"/>
      <c r="H173" t="inlineStr"/>
      <c r="I173" t="inlineStr"/>
    </row>
    <row r="174">
      <c r="A174" t="n">
        <v>173</v>
      </c>
      <c r="B174" t="inlineStr">
        <is>
          <t>아이오아이</t>
        </is>
      </c>
      <c r="C174" t="inlineStr">
        <is>
          <t>spillover</t>
        </is>
      </c>
      <c r="D174" s="3" t="inlineStr">
        <is>
          <t>'Very Very Very'는 133만 9,944건의 다운로드를 기록하며 그룹 최초 1위곡이 됐다.</t>
        </is>
      </c>
      <c r="E174" t="inlineStr"/>
      <c r="F174" t="inlineStr">
        <is>
          <t>N</t>
        </is>
      </c>
      <c r="G174" t="inlineStr"/>
      <c r="H174" t="inlineStr"/>
      <c r="I174" t="inlineStr"/>
    </row>
    <row r="175">
      <c r="A175" t="n">
        <v>174</v>
      </c>
      <c r="B175" t="inlineStr">
        <is>
          <t>BTOB</t>
        </is>
      </c>
      <c r="C175" t="inlineStr">
        <is>
          <t>spillover</t>
        </is>
      </c>
      <c r="D175" s="3" t="inlineStr">
        <is>
          <t>BTOB 육성재는 2015년 5월 27일 방영된 MBC '황금어장 - 라디오스타'에 출연해 비투비 보컬 라인 중 메인급 실력자로 주목받았다.</t>
        </is>
      </c>
      <c r="E175" t="inlineStr"/>
      <c r="F175" t="inlineStr">
        <is>
          <t>N</t>
        </is>
      </c>
      <c r="G175" t="inlineStr"/>
      <c r="H175" t="inlineStr"/>
      <c r="I175" t="inlineStr"/>
    </row>
    <row r="176">
      <c r="A176" t="n">
        <v>175</v>
      </c>
      <c r="B176" t="inlineStr">
        <is>
          <t>RIIZE</t>
        </is>
      </c>
      <c r="C176" t="inlineStr">
        <is>
          <t>spillover</t>
        </is>
      </c>
      <c r="D176" s="3" t="inlineStr">
        <is>
          <t>RIIZE는 2026년 2월 데뷔 최속 도쿄돔 공연 개최를 오리콘이 보도(제목: "RIIZE、2026年2月に東京ドーム公演開催へ K-POP男性グループとしてデビュー最速")</t>
        </is>
      </c>
      <c r="E176" t="inlineStr"/>
      <c r="F176" t="inlineStr">
        <is>
          <t>N</t>
        </is>
      </c>
      <c r="G176" t="inlineStr"/>
      <c r="H176" t="inlineStr"/>
      <c r="I176" t="inlineStr"/>
    </row>
    <row r="177">
      <c r="A177" t="n">
        <v>176</v>
      </c>
      <c r="B177" t="inlineStr">
        <is>
          <t>NewJeans</t>
        </is>
      </c>
      <c r="C177" t="inlineStr">
        <is>
          <t>loyalty</t>
        </is>
      </c>
      <c r="D177" s="3" t="inlineStr">
        <is>
          <t>4인 체제로 컴백을 확정했다고 Terra가 보도</t>
        </is>
      </c>
      <c r="E177" t="inlineStr"/>
      <c r="F177" t="inlineStr">
        <is>
          <t>N</t>
        </is>
      </c>
      <c r="G177" t="inlineStr"/>
      <c r="H177" t="inlineStr"/>
      <c r="I177" t="inlineStr"/>
    </row>
    <row r="178">
      <c r="A178" s="4" t="n">
        <v>177</v>
      </c>
      <c r="B178" s="4" t="inlineStr">
        <is>
          <t>권은비</t>
        </is>
      </c>
      <c r="C178" s="4" t="inlineStr">
        <is>
          <t>spillover</t>
        </is>
      </c>
      <c r="D178" s="5" t="inlineStr">
        <is>
          <t>Korean EP sales: "Color" (Apr 2022) 57,947 copies, "Lethality" (Oct 2022) 46,188 copies; brand endorsements include Sprite, Nine Wishes, Lenstown, and Jadam Chicken</t>
        </is>
      </c>
      <c r="E178" s="4" t="inlineStr"/>
      <c r="F178" s="4" t="inlineStr">
        <is>
          <t>Y</t>
        </is>
      </c>
      <c r="G178" s="4" t="inlineStr">
        <is>
          <t>brand endorsements (영문)</t>
        </is>
      </c>
      <c r="H178" s="4" t="inlineStr"/>
      <c r="I178" s="4" t="inlineStr"/>
    </row>
    <row r="179">
      <c r="A179" t="n">
        <v>178</v>
      </c>
      <c r="B179" t="inlineStr">
        <is>
          <t>EXO</t>
        </is>
      </c>
      <c r="C179" t="inlineStr">
        <is>
          <t>loyalty</t>
        </is>
      </c>
      <c r="D179" s="3" t="inlineStr">
        <is>
          <t>EXO-SC(세훈·찬열)가 마닐라 팬콘에서 필리핀 팬들에게 감사 인사를 전함</t>
        </is>
      </c>
      <c r="E179" t="inlineStr"/>
      <c r="F179" t="inlineStr">
        <is>
          <t>N</t>
        </is>
      </c>
      <c r="G179" t="inlineStr"/>
      <c r="H179" t="inlineStr"/>
      <c r="I179" t="inlineStr"/>
    </row>
    <row r="180">
      <c r="A180" t="n">
        <v>179</v>
      </c>
      <c r="B180" t="inlineStr">
        <is>
          <t>(여자)아이들</t>
        </is>
      </c>
      <c r="C180" t="inlineStr">
        <is>
          <t>spillover</t>
        </is>
      </c>
      <c r="D180" s="3" t="inlineStr">
        <is>
          <t>(여자)아이들은 2019년 8월~10월 Mnet 서바이벌 예능 '컴백전쟁: 퀸덤'에 참가해 3위를 기록했으며, 이때 선보인 '라이언(Lion)' 무대는 '월드클래스'라는 평가를 받으며 이후에도 회자되는 레전드 무대로 꼽힌다.</t>
        </is>
      </c>
      <c r="E180" t="inlineStr"/>
      <c r="F180" t="inlineStr">
        <is>
          <t>N</t>
        </is>
      </c>
      <c r="G180" t="inlineStr"/>
      <c r="H180" t="inlineStr"/>
      <c r="I180" t="inlineStr"/>
    </row>
    <row r="181">
      <c r="A181" t="n">
        <v>180</v>
      </c>
      <c r="B181" t="inlineStr">
        <is>
          <t>aespa</t>
        </is>
      </c>
      <c r="C181" t="inlineStr">
        <is>
          <t>loyalty</t>
        </is>
      </c>
      <c r="D181" s="3" t="inlineStr">
        <is>
          <t>SM엔터테인먼트 공식 뉴스룸이 에스파의 6월 서울 콘서트가 양일간 시야제한석까지 전석 매진됐다고 발표했다.</t>
        </is>
      </c>
      <c r="E181" t="inlineStr"/>
      <c r="F181" t="inlineStr">
        <is>
          <t>N</t>
        </is>
      </c>
      <c r="G181" t="inlineStr"/>
      <c r="H181" t="inlineStr"/>
      <c r="I181" t="inlineStr"/>
    </row>
    <row r="182">
      <c r="A182" t="n">
        <v>181</v>
      </c>
      <c r="B182" t="inlineStr">
        <is>
          <t>god</t>
        </is>
      </c>
      <c r="C182" t="inlineStr">
        <is>
          <t>loyalty</t>
        </is>
      </c>
      <c r="D182" s="3" t="inlineStr">
        <is>
          <t>2025년 12월 데뷔 26주년 완전체 콘서트(서울 3회·부산 2회 총 5회)가 전석 매진되어 언론이 "리빙 레전드"라 평가했다</t>
        </is>
      </c>
      <c r="E182" t="inlineStr"/>
      <c r="F182" t="inlineStr">
        <is>
          <t>N</t>
        </is>
      </c>
      <c r="G182" t="inlineStr"/>
      <c r="H182" t="inlineStr"/>
      <c r="I182" t="inlineStr"/>
    </row>
    <row r="183">
      <c r="A183" t="n">
        <v>182</v>
      </c>
      <c r="B183" t="inlineStr">
        <is>
          <t>이영지</t>
        </is>
      </c>
      <c r="C183" t="inlineStr">
        <is>
          <t>loyalty</t>
        </is>
      </c>
      <c r="D183" s="3" t="inlineStr">
        <is>
          <t>이영지가 9월 타이베이 대중음악센터 단독 공연을 발표했다는 소식을 中時(旺得富理財網, 中國時報 계열)가 보도.</t>
        </is>
      </c>
      <c r="E183" t="inlineStr"/>
      <c r="F183" t="inlineStr">
        <is>
          <t>N</t>
        </is>
      </c>
      <c r="G183" t="inlineStr"/>
      <c r="H183" t="inlineStr"/>
      <c r="I183" t="inlineStr"/>
    </row>
    <row r="184">
      <c r="A184" t="n">
        <v>183</v>
      </c>
      <c r="B184" t="inlineStr">
        <is>
          <t>린</t>
        </is>
      </c>
      <c r="C184" t="inlineStr">
        <is>
          <t>spillover</t>
        </is>
      </c>
      <c r="D184" s="3" t="inlineStr">
        <is>
          <t>린은 유튜브 채널 '린티비'를 운영하며 브이로그, 공연 비하인드, Q&amp;A 콘텐츠를 정기적으로 업로드하고, 구독자를 '린둥이'라 부른다.</t>
        </is>
      </c>
      <c r="E184" t="inlineStr"/>
      <c r="F184" t="inlineStr">
        <is>
          <t>N</t>
        </is>
      </c>
      <c r="G184" t="inlineStr"/>
      <c r="H184" t="inlineStr"/>
      <c r="I184" t="inlineStr"/>
    </row>
    <row r="185">
      <c r="A185" t="n">
        <v>184</v>
      </c>
      <c r="B185" t="inlineStr">
        <is>
          <t>DAY6</t>
        </is>
      </c>
      <c r="C185" t="inlineStr">
        <is>
          <t>spillover</t>
        </is>
      </c>
      <c r="D185" s="3" t="inlineStr">
        <is>
          <t>DAY6 멤버 원필은 드라마 '선녀외전' OST에 '시간의 잔상'을 불러 참여했으며 해당 스페셜 클립이 공식 유튜브에 공개됐다.</t>
        </is>
      </c>
      <c r="E185" t="inlineStr"/>
      <c r="F185" t="inlineStr">
        <is>
          <t>N</t>
        </is>
      </c>
      <c r="G185" t="inlineStr"/>
      <c r="H185" t="inlineStr"/>
      <c r="I185" t="inlineStr"/>
    </row>
    <row r="186">
      <c r="A186" t="n">
        <v>185</v>
      </c>
      <c r="B186" t="inlineStr">
        <is>
          <t>엄정화</t>
        </is>
      </c>
      <c r="C186" t="inlineStr">
        <is>
          <t>spillover</t>
        </is>
      </c>
      <c r="D186" s="3" t="inlineStr">
        <is>
          <t>영화 '결혼은 미친 짓이다'(2002), '싱글즈'(2003), '오로라 공주'(2005), '인사동 스캔들'(2009) 등 다수 주연</t>
        </is>
      </c>
      <c r="E186" t="inlineStr"/>
      <c r="F186" t="inlineStr">
        <is>
          <t>N</t>
        </is>
      </c>
      <c r="G186" t="inlineStr"/>
      <c r="H186" t="inlineStr"/>
      <c r="I186" t="inlineStr"/>
    </row>
    <row r="187">
      <c r="A187" t="n">
        <v>186</v>
      </c>
      <c r="B187" t="inlineStr">
        <is>
          <t>브라운아이즈</t>
        </is>
      </c>
      <c r="C187" t="inlineStr">
        <is>
          <t>spillover</t>
        </is>
      </c>
      <c r="D187" s="3" t="inlineStr">
        <is>
          <t>영어판 위키백과는 나얼이 속한 브라운 아이드 소울이 데뷔 싱글로 KBS 가요 순위 프로그램에서 1위를 기록했고 2008년 한국대중음악상 R&amp;B&amp;소울 부문상을 수상했다고 소개한다.</t>
        </is>
      </c>
      <c r="E187" t="inlineStr"/>
      <c r="F187" t="inlineStr">
        <is>
          <t>N</t>
        </is>
      </c>
      <c r="G187" t="inlineStr"/>
      <c r="H187" t="inlineStr"/>
      <c r="I187" t="inlineStr"/>
    </row>
    <row r="188">
      <c r="A188" t="n">
        <v>187</v>
      </c>
      <c r="B188" t="inlineStr">
        <is>
          <t>다비치</t>
        </is>
      </c>
      <c r="C188" t="inlineStr">
        <is>
          <t>spillover</t>
        </is>
      </c>
      <c r="D188" s="3" t="inlineStr">
        <is>
          <t>2008년 MAMA, 골든디스크 어워즈, 서울가요대상에서 동시에 '올해의 신인상'을 수상했다</t>
        </is>
      </c>
      <c r="E188" t="inlineStr"/>
      <c r="F188" t="inlineStr">
        <is>
          <t>N</t>
        </is>
      </c>
      <c r="G188" t="inlineStr"/>
      <c r="H188" t="inlineStr"/>
      <c r="I188" t="inlineStr"/>
    </row>
    <row r="189">
      <c r="A189" t="n">
        <v>188</v>
      </c>
      <c r="B189" t="inlineStr">
        <is>
          <t>오마이걸</t>
        </is>
      </c>
      <c r="C189" t="inlineStr">
        <is>
          <t>loyalty</t>
        </is>
      </c>
      <c r="D189" s="3" t="inlineStr">
        <is>
          <t>인도네시아 매체 detikcom은 같은 무대를 다룬 후속 기사에서 오마이걸이 자카르타 공연에서 "논스톱으로 분위기를 즐겁게 만들었다"고 전했다</t>
        </is>
      </c>
      <c r="E189" t="inlineStr"/>
      <c r="F189" t="inlineStr">
        <is>
          <t>N</t>
        </is>
      </c>
      <c r="G189" t="inlineStr"/>
      <c r="H189" t="inlineStr"/>
      <c r="I189" t="inlineStr"/>
    </row>
    <row r="190">
      <c r="A190" t="n">
        <v>189</v>
      </c>
      <c r="B190" t="inlineStr">
        <is>
          <t>IVE</t>
        </is>
      </c>
      <c r="C190" t="inlineStr">
        <is>
          <t>spillover</t>
        </is>
      </c>
      <c r="D190" s="3" t="inlineStr">
        <is>
          <t>Loạt ảnh Jang Won Young tham dự sự kiện tại Việt Nam nhanh chóng gây bão mạng, nhận về lượng tương tác cực khủng.</t>
        </is>
      </c>
      <c r="E190" t="inlineStr"/>
      <c r="F190" t="inlineStr">
        <is>
          <t>N</t>
        </is>
      </c>
      <c r="G190" t="inlineStr"/>
      <c r="H190" t="inlineStr"/>
      <c r="I190" t="inlineStr"/>
    </row>
    <row r="191">
      <c r="A191" t="n">
        <v>190</v>
      </c>
      <c r="B191" t="inlineStr">
        <is>
          <t>악동뮤지션</t>
        </is>
      </c>
      <c r="C191" t="inlineStr">
        <is>
          <t>loyalty</t>
        </is>
      </c>
      <c r="D191" s="3" t="inlineStr">
        <is>
          <t>데뷔 10주년을 맞아 2024년 3월 처음으로 공식 팬덤명 '악카데미(AKKADEMY)'를 발표하고 위버스 멤버십을 통해 가입을 받기 시작했다.</t>
        </is>
      </c>
      <c r="E191" t="inlineStr"/>
      <c r="F191" t="inlineStr">
        <is>
          <t>N</t>
        </is>
      </c>
      <c r="G191" t="inlineStr"/>
      <c r="H191" t="inlineStr"/>
      <c r="I191" t="inlineStr"/>
    </row>
    <row r="192">
      <c r="A192" s="4" t="n">
        <v>191</v>
      </c>
      <c r="B192" s="4" t="inlineStr">
        <is>
          <t>ITZY</t>
        </is>
      </c>
      <c r="C192" s="4" t="inlineStr">
        <is>
          <t>spillover</t>
        </is>
      </c>
      <c r="D192" s="5" t="inlineStr">
        <is>
          <t>Brand endorsements include Kia Motors, Lotte Duty Free, MAC Cosmetics, Maybelline New York (first Korean artists as its global spokesmodels), G-Shock, Line Friends, Pokémon, Adidas, H&amp;M, Bench, and Charles &amp; Keith</t>
        </is>
      </c>
      <c r="E192" s="4" t="inlineStr"/>
      <c r="F192" s="4" t="inlineStr">
        <is>
          <t>Y</t>
        </is>
      </c>
      <c r="G192" s="4" t="inlineStr">
        <is>
          <t>brand endorsements / global spokesmodels (영문)</t>
        </is>
      </c>
      <c r="H192" s="4" t="inlineStr"/>
      <c r="I192" s="4" t="inlineStr"/>
    </row>
    <row r="193">
      <c r="A193" t="n">
        <v>192</v>
      </c>
      <c r="B193" t="inlineStr">
        <is>
          <t>aespa</t>
        </is>
      </c>
      <c r="C193" t="inlineStr">
        <is>
          <t>spillover</t>
        </is>
      </c>
      <c r="D193" s="3" t="inlineStr">
        <is>
          <t>aespa는 2026년 7월 30일 니혼TV(닛폰 테레비) 아침 정보 예능 'DayDay.'에 전원 출연했다.</t>
        </is>
      </c>
      <c r="E193" t="inlineStr"/>
      <c r="F193" t="inlineStr">
        <is>
          <t>N</t>
        </is>
      </c>
      <c r="G193" t="inlineStr"/>
      <c r="H193" t="inlineStr"/>
      <c r="I193" t="inlineStr"/>
    </row>
    <row r="194">
      <c r="A194" t="n">
        <v>193</v>
      </c>
      <c r="B194" t="inlineStr">
        <is>
          <t>영탁</t>
        </is>
      </c>
      <c r="C194" t="inlineStr">
        <is>
          <t>loyalty</t>
        </is>
      </c>
      <c r="D194" s="3" t="inlineStr">
        <is>
          <t>2025년 3월 데뷔 20주년을 맞아 첫 단독 팬콘서트를 개최했다.</t>
        </is>
      </c>
      <c r="E194" t="inlineStr"/>
      <c r="F194" t="inlineStr">
        <is>
          <t>N</t>
        </is>
      </c>
      <c r="G194" t="inlineStr"/>
      <c r="H194" t="inlineStr"/>
      <c r="I194" t="inlineStr"/>
    </row>
    <row r="195">
      <c r="A195" t="n">
        <v>194</v>
      </c>
      <c r="B195" t="inlineStr">
        <is>
          <t>볼빨간사춘기</t>
        </is>
      </c>
      <c r="C195" t="inlineStr">
        <is>
          <t>spillover</t>
        </is>
      </c>
      <c r="D195" s="3" t="inlineStr">
        <is>
          <t>대만 티켓 플랫폼 KKTIX에 따르면 볼빨간사춘기는 2025년 1월 25일 국립대만대학교 종합체육관에서 '2025 BOL4 Asia Tour &lt;Bloom&gt;' 타이베이 공연을 열었다.</t>
        </is>
      </c>
      <c r="E195" t="inlineStr"/>
      <c r="F195" t="inlineStr">
        <is>
          <t>N</t>
        </is>
      </c>
      <c r="G195" t="inlineStr"/>
      <c r="H195" t="inlineStr"/>
      <c r="I195" t="inlineStr"/>
    </row>
    <row r="196">
      <c r="A196" t="n">
        <v>195</v>
      </c>
      <c r="B196" t="inlineStr">
        <is>
          <t>소녀시대</t>
        </is>
      </c>
      <c r="C196" t="inlineStr">
        <is>
          <t>spillover</t>
        </is>
      </c>
      <c r="D196" s="3" t="inlineStr">
        <is>
          <t>소녀시대가 2012년 7월 12일 전남 여수세계박람회(여수엑스포)장에서 열린 '엑스포 팝 페스티벌' 무대에 출연해 약 40미터 돌출형 슬라이딩 무대에서 공연했다.</t>
        </is>
      </c>
      <c r="E196" t="inlineStr"/>
      <c r="F196" t="inlineStr">
        <is>
          <t>N</t>
        </is>
      </c>
      <c r="G196" t="inlineStr"/>
      <c r="H196" t="inlineStr"/>
      <c r="I196" t="inlineStr"/>
    </row>
    <row r="197">
      <c r="A197" t="n">
        <v>196</v>
      </c>
      <c r="B197" t="inlineStr">
        <is>
          <t>장윤정</t>
        </is>
      </c>
      <c r="C197" t="inlineStr">
        <is>
          <t>spillover</t>
        </is>
      </c>
      <c r="D197" s="3" t="inlineStr">
        <is>
          <t>At peak activity, toured roughly 100,000 km nationally per year for regional events, at times appearing at up to 12 events in a single day.</t>
        </is>
      </c>
      <c r="E197" t="inlineStr"/>
      <c r="F197" t="inlineStr">
        <is>
          <t>N</t>
        </is>
      </c>
      <c r="G197" t="inlineStr"/>
      <c r="H197" t="inlineStr"/>
      <c r="I197" t="inlineStr"/>
    </row>
    <row r="198">
      <c r="A198" t="n">
        <v>197</v>
      </c>
      <c r="B198" t="inlineStr">
        <is>
          <t>BTS</t>
        </is>
      </c>
      <c r="C198" t="inlineStr">
        <is>
          <t>loyalty</t>
        </is>
      </c>
      <c r="D198" s="3" t="inlineStr">
        <is>
          <t>BTS 멤버들이 2020년 6월 흑인인권 운동(BLM)에 100만 달러를 기부하자 아미도 24시간 만에 매칭 기부로 100만 달러를 모아 화제가 됐다.</t>
        </is>
      </c>
      <c r="E198" t="inlineStr"/>
      <c r="F198" t="inlineStr">
        <is>
          <t>N</t>
        </is>
      </c>
      <c r="G198" t="inlineStr"/>
      <c r="H198" t="inlineStr"/>
      <c r="I198" t="inlineStr"/>
    </row>
    <row r="199">
      <c r="A199" t="n">
        <v>198</v>
      </c>
      <c r="B199" t="inlineStr">
        <is>
          <t>엄정화</t>
        </is>
      </c>
      <c r="C199" t="inlineStr">
        <is>
          <t>loyalty</t>
        </is>
      </c>
      <c r="D199" s="3" t="inlineStr">
        <is>
          <t>1998년 발매한 앨범 '초대'가 국내 45만 8,147장 판매를 기록했다</t>
        </is>
      </c>
      <c r="E199" t="inlineStr"/>
      <c r="F199" t="inlineStr">
        <is>
          <t>N</t>
        </is>
      </c>
      <c r="G199" t="inlineStr"/>
      <c r="H199" t="inlineStr"/>
      <c r="I199" t="inlineStr"/>
    </row>
    <row r="200">
      <c r="A200" t="n">
        <v>199</v>
      </c>
      <c r="B200" t="inlineStr">
        <is>
          <t>소녀시대</t>
        </is>
      </c>
      <c r="C200" t="inlineStr">
        <is>
          <t>spillover</t>
        </is>
      </c>
      <c r="D200" s="3" t="inlineStr">
        <is>
          <t>소녀시대 윤아가 2025년 하반기~2026년 초 드라마 '폭군의 셰프'와 영화 '악마가 이사왔다'로 다수의 연기 시상식을 휩쓸었다. 10주년 아시아 아티스트 어워즈(AAA)에서 TV 부문 올해의 여우주연상 대상과 베스트아티스트상·아시아스타상을 받았고, 제29회 춘사국제영화제 여우주연상, 제46회 청룡영화상 청정원 인기스타상, KCA 문화연예 시상식 올해의 배우상(영화 부문) 등을 수상했다.</t>
        </is>
      </c>
      <c r="E200" t="inlineStr"/>
      <c r="F200" t="inlineStr">
        <is>
          <t>N</t>
        </is>
      </c>
      <c r="G200" t="inlineStr"/>
      <c r="H200" t="inlineStr"/>
      <c r="I200" t="inlineStr"/>
    </row>
    <row r="201">
      <c r="A201" t="n">
        <v>200</v>
      </c>
      <c r="B201" t="inlineStr">
        <is>
          <t>투어스(TWS)</t>
        </is>
      </c>
      <c r="C201" t="inlineStr">
        <is>
          <t>loyalty</t>
        </is>
      </c>
      <c r="D201" s="3" t="inlineStr">
        <is>
          <t>According to Korean wiki namu.wiki, '42' is noted as the first K-pop idol fandom name composed entirely of numerals, reflecting PLEDIS/TWS's numeric '24/7' branding concept — a lower-confidence, community-sourced claim included with that caveat.</t>
        </is>
      </c>
      <c r="E201" t="inlineStr"/>
      <c r="F201" t="inlineStr">
        <is>
          <t>N</t>
        </is>
      </c>
      <c r="G201" t="inlineStr"/>
      <c r="H201" t="inlineStr"/>
      <c r="I201" t="inlineStr"/>
    </row>
  </sheetData>
  <autoFilter ref="A1:I201"/>
  <dataValidations count="1">
    <dataValidation sqref="H2:H201" showDropDown="0" showInputMessage="0" showErrorMessage="0" allowBlank="1" type="list">
      <formula1>"O,X"</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6" customWidth="1" min="2" max="2"/>
    <col width="10" customWidth="1" min="3" max="3"/>
    <col width="90" customWidth="1" min="4" max="4"/>
    <col width="18" customWidth="1" min="5" max="5"/>
    <col width="12" customWidth="1" min="6" max="6"/>
    <col width="40" customWidth="1" min="7" max="7"/>
    <col width="12" customWidth="1" min="8" max="8"/>
    <col width="30" customWidth="1" min="9" max="9"/>
  </cols>
  <sheetData>
    <row r="1">
      <c r="A1" s="2" t="inlineStr">
        <is>
          <t>번호</t>
        </is>
      </c>
      <c r="B1" s="2" t="inlineStr">
        <is>
          <t>팬덤</t>
        </is>
      </c>
      <c r="C1" s="2" t="inlineStr">
        <is>
          <t>유형</t>
        </is>
      </c>
      <c r="D1" s="2" t="inlineStr">
        <is>
          <t>문장</t>
        </is>
      </c>
      <c r="E1" s="2" t="inlineStr">
        <is>
          <t>힌트어(사전 밖 유사 표현)</t>
        </is>
      </c>
      <c r="F1" s="2" t="inlineStr">
        <is>
          <t>모델 판독(Y/N)</t>
        </is>
      </c>
      <c r="G1" s="2" t="inlineStr">
        <is>
          <t>판독 사유</t>
        </is>
      </c>
      <c r="H1" s="2" t="inlineStr">
        <is>
          <t>저자 판정(O/X)</t>
        </is>
      </c>
      <c r="I1" s="2" t="inlineStr">
        <is>
          <t>메모</t>
        </is>
      </c>
    </row>
    <row r="2">
      <c r="A2" t="n">
        <v>1</v>
      </c>
      <c r="B2" t="inlineStr">
        <is>
          <t>엔믹스</t>
        </is>
      </c>
      <c r="C2" t="inlineStr">
        <is>
          <t>spillover</t>
        </is>
      </c>
      <c r="D2" s="3" t="inlineStr">
        <is>
          <t>인도네시아 매체 디틱과 IDN Times는 엔믹스가 K팝 그룹 최초로 브라질 카니발 무대('Bloco Da Pabllo' 2026)에 올라 "기록을 세웠다(cetak rekor)"고 보도했다 - 팬덤 밖 남미 대중문화 시장까지 화제성이 확산된 사례다</t>
        </is>
      </c>
      <c r="E2" t="inlineStr"/>
      <c r="F2" t="inlineStr">
        <is>
          <t>N</t>
        </is>
      </c>
      <c r="G2" t="inlineStr"/>
      <c r="H2" t="inlineStr"/>
      <c r="I2" t="inlineStr"/>
    </row>
    <row r="3">
      <c r="A3" t="n">
        <v>2</v>
      </c>
      <c r="B3" t="inlineStr">
        <is>
          <t>이영지</t>
        </is>
      </c>
      <c r="C3" t="inlineStr">
        <is>
          <t>loyalty</t>
        </is>
      </c>
      <c r="D3" s="3" t="inlineStr">
        <is>
          <t>월드투어 공식 굿즈(MD)를 현장 티켓 확인 절차까지 두고 사전 판매할 만큼 팬 구매 수요가 크다.</t>
        </is>
      </c>
      <c r="E3" t="inlineStr"/>
      <c r="F3" t="inlineStr">
        <is>
          <t>N</t>
        </is>
      </c>
      <c r="G3" t="inlineStr"/>
      <c r="H3" t="inlineStr"/>
      <c r="I3" t="inlineStr"/>
    </row>
    <row r="4">
      <c r="A4" t="n">
        <v>3</v>
      </c>
      <c r="B4" t="inlineStr">
        <is>
          <t>임영웅</t>
        </is>
      </c>
      <c r="C4" t="inlineStr">
        <is>
          <t>loyalty</t>
        </is>
      </c>
      <c r="D4" s="3" t="inlineStr">
        <is>
          <t>Fan club 영웅시대 donated 200 million won (2억원) to Korea University Medical Center (Anam/Guro/Ansan hospitals) in Lim Young-woong's name on his birthday, supporting low-income patients; his own cumulative donations across causes total 2.5 billion won</t>
        </is>
      </c>
      <c r="E4" t="inlineStr"/>
      <c r="F4" t="inlineStr">
        <is>
          <t>N</t>
        </is>
      </c>
      <c r="G4" t="inlineStr"/>
      <c r="H4" t="inlineStr"/>
      <c r="I4" t="inlineStr"/>
    </row>
    <row r="5">
      <c r="A5" t="n">
        <v>4</v>
      </c>
      <c r="B5" t="inlineStr">
        <is>
          <t>마마무</t>
        </is>
      </c>
      <c r="C5" t="inlineStr">
        <is>
          <t>spillover</t>
        </is>
      </c>
      <c r="D5" s="3" t="inlineStr">
        <is>
          <t>칠레 매체 라콰르타(La Cuarta)는 마마무가 2014년 데뷔 이후 재즈·소울·R&amp;B를 접목한 음악과 자체 작사·작곡 활동으로 K팝에서 여성 서사를 대표하는 그룹으로 자리매김했다고 보도했다.</t>
        </is>
      </c>
      <c r="E5" t="inlineStr"/>
      <c r="F5" t="inlineStr">
        <is>
          <t>N</t>
        </is>
      </c>
      <c r="G5" t="inlineStr"/>
      <c r="H5" t="inlineStr"/>
      <c r="I5" t="inlineStr"/>
    </row>
    <row r="6">
      <c r="A6" t="n">
        <v>5</v>
      </c>
      <c r="B6" t="inlineStr">
        <is>
          <t>샤이니</t>
        </is>
      </c>
      <c r="C6" t="inlineStr">
        <is>
          <t>spillover</t>
        </is>
      </c>
      <c r="D6" s="3" t="inlineStr">
        <is>
          <t>6년 만의 도쿄돔 공연에서 진주빛 아쿠아그린 응원봉으로 물든 회장이 환호로 가득 찼다고 일본 매체가 보도: "見渡す限り、グループカラーであるパールアクアグリーン色のペンライトで染められた幻想的な東京ドーム"</t>
        </is>
      </c>
      <c r="E6" t="inlineStr"/>
      <c r="F6" t="inlineStr">
        <is>
          <t>N</t>
        </is>
      </c>
      <c r="G6" t="inlineStr"/>
      <c r="H6" t="inlineStr"/>
      <c r="I6" t="inlineStr"/>
    </row>
    <row r="7">
      <c r="A7" t="n">
        <v>6</v>
      </c>
      <c r="B7" t="inlineStr">
        <is>
          <t>EXO</t>
        </is>
      </c>
      <c r="C7" t="inlineStr">
        <is>
          <t>loyalty</t>
        </is>
      </c>
      <c r="D7" s="3" t="inlineStr">
        <is>
          <t>2014년 5월 24일 'Lost Planet' 콘서트 티켓이 1.47초 만에 매진됐다.</t>
        </is>
      </c>
      <c r="E7" t="inlineStr"/>
      <c r="F7" t="inlineStr">
        <is>
          <t>N</t>
        </is>
      </c>
      <c r="G7" t="inlineStr"/>
      <c r="H7" t="inlineStr"/>
      <c r="I7" t="inlineStr"/>
    </row>
    <row r="8">
      <c r="A8" t="n">
        <v>7</v>
      </c>
      <c r="B8" t="inlineStr">
        <is>
          <t>여자친구</t>
        </is>
      </c>
      <c r="C8" t="inlineStr">
        <is>
          <t>loyalty</t>
        </is>
      </c>
      <c r="D8" s="3" t="inlineStr">
        <is>
          <t>Natalie (natalie.mu), Japan's major music/culture news site, covered the release of GFriend's second Japanese photobook "CHOICE," a fan-merchandise item aimed at the group's dedicated Japanese fanbase.</t>
        </is>
      </c>
      <c r="E8" t="inlineStr"/>
      <c r="F8" t="inlineStr">
        <is>
          <t>N</t>
        </is>
      </c>
      <c r="G8" t="inlineStr"/>
      <c r="H8" t="inlineStr"/>
      <c r="I8" t="inlineStr"/>
    </row>
    <row r="9">
      <c r="A9" t="n">
        <v>8</v>
      </c>
      <c r="B9" t="inlineStr">
        <is>
          <t>영탁</t>
        </is>
      </c>
      <c r="C9" t="inlineStr">
        <is>
          <t>loyalty</t>
        </is>
      </c>
      <c r="D9" s="3" t="inlineStr">
        <is>
          <t>For his 20th debut anniversary, fan club YOUNGTAK &amp; BLUES donated ₩68.35 million to UNICEF Korea.</t>
        </is>
      </c>
      <c r="E9" t="inlineStr"/>
      <c r="F9" t="inlineStr">
        <is>
          <t>N</t>
        </is>
      </c>
      <c r="G9" t="inlineStr"/>
      <c r="H9" t="inlineStr"/>
      <c r="I9" t="inlineStr"/>
    </row>
    <row r="10">
      <c r="A10" t="n">
        <v>9</v>
      </c>
      <c r="B10" t="inlineStr">
        <is>
          <t>LE SSERAFIM</t>
        </is>
      </c>
      <c r="C10" t="inlineStr">
        <is>
          <t>loyalty</t>
        </is>
      </c>
      <c r="D10" s="3" t="inlineStr">
        <is>
          <t>2026년 5월 데뷔 4주년을 맞아 전 세계 공식 팬덤 '피어나(FEARNOT)'와 함께 'CELEBRATION' 기념 활동을 진행했다는 보도</t>
        </is>
      </c>
      <c r="E10" t="inlineStr"/>
      <c r="F10" t="inlineStr">
        <is>
          <t>N</t>
        </is>
      </c>
      <c r="G10" t="inlineStr"/>
      <c r="H10" t="inlineStr"/>
      <c r="I10" t="inlineStr"/>
    </row>
    <row r="11">
      <c r="A11" t="n">
        <v>10</v>
      </c>
      <c r="B11" t="inlineStr">
        <is>
          <t>거미</t>
        </is>
      </c>
      <c r="C11" t="inlineStr">
        <is>
          <t>loyalty</t>
        </is>
      </c>
      <c r="D11" s="3" t="inlineStr">
        <is>
          <t>데뷔 20년이 지난 시점에도 히트곡들이 노래방 인기차트에 꾸준히 오르는 등 장기적인 대중적 스트리밍/소비력을 유지하고 있다.</t>
        </is>
      </c>
      <c r="E11" t="inlineStr"/>
      <c r="F11" t="inlineStr">
        <is>
          <t>N</t>
        </is>
      </c>
      <c r="G11" t="inlineStr"/>
      <c r="H11" t="inlineStr"/>
      <c r="I11" t="inlineStr"/>
    </row>
    <row r="12">
      <c r="A12" t="n">
        <v>11</v>
      </c>
      <c r="B12" t="inlineStr">
        <is>
          <t>투어스(TWS)</t>
        </is>
      </c>
      <c r="C12" t="inlineStr">
        <is>
          <t>spillover</t>
        </is>
      </c>
      <c r="D12" s="3" t="inlineStr">
        <is>
          <t>Kapanlagi.com confirmed no Indonesian city appears on TWS's official 2026 Asia tour schedule, describing Jakarta as 'passed' and noting local fan disappointment.</t>
        </is>
      </c>
      <c r="E12" t="inlineStr"/>
      <c r="F12" t="inlineStr">
        <is>
          <t>N</t>
        </is>
      </c>
      <c r="G12" t="inlineStr"/>
      <c r="H12" t="inlineStr"/>
      <c r="I12" t="inlineStr"/>
    </row>
    <row r="13">
      <c r="A13" t="n">
        <v>12</v>
      </c>
      <c r="B13" t="inlineStr">
        <is>
          <t>나훈아</t>
        </is>
      </c>
      <c r="C13" t="inlineStr">
        <is>
          <t>spillover</t>
        </is>
      </c>
      <c r="D13" s="3" t="inlineStr">
        <is>
          <t>2025.1 전국투어 은퇴 콘서트 '고마웠습니다' 최종 마무리, 58년 가수 인생에 마침표</t>
        </is>
      </c>
      <c r="E13" t="inlineStr"/>
      <c r="F13" t="inlineStr">
        <is>
          <t>N</t>
        </is>
      </c>
      <c r="G13" t="inlineStr"/>
      <c r="H13" t="inlineStr"/>
      <c r="I13" t="inlineStr"/>
    </row>
    <row r="14">
      <c r="A14" t="n">
        <v>13</v>
      </c>
      <c r="B14" t="inlineStr">
        <is>
          <t>최예나</t>
        </is>
      </c>
      <c r="C14" t="inlineStr">
        <is>
          <t>loyalty</t>
        </is>
      </c>
      <c r="D14" s="3" t="inlineStr">
        <is>
          <t>최예나는 2024년 팬콘서트 'SUPER YENA'부터 2026년 라이브투어 '잡힐 듯 말 듯 한, 2세계!'까지 꾸준히 단독 공연을 이어가며 팬덤과의 접점을 확대하고 있다</t>
        </is>
      </c>
      <c r="E14" t="inlineStr"/>
      <c r="F14" t="inlineStr">
        <is>
          <t>N</t>
        </is>
      </c>
      <c r="G14" t="inlineStr"/>
      <c r="H14" t="inlineStr"/>
      <c r="I14" t="inlineStr"/>
    </row>
    <row r="15">
      <c r="A15" s="4" t="n">
        <v>14</v>
      </c>
      <c r="B15" s="4" t="inlineStr">
        <is>
          <t>지코</t>
        </is>
      </c>
      <c r="C15" s="4" t="inlineStr">
        <is>
          <t>spillover</t>
        </is>
      </c>
      <c r="D15" s="5" t="inlineStr">
        <is>
          <t>'쇼미더머니' 시리즈 4·6·12편 등 여러 시즌에 프로듀서로 참여하며 힙합 신 전반에 영향력을 확장했다.</t>
        </is>
      </c>
      <c r="E15" s="4" t="inlineStr"/>
      <c r="F15" s="4" t="inlineStr">
        <is>
          <t>Y</t>
        </is>
      </c>
      <c r="G15" s="4" t="inlineStr">
        <is>
          <t>예능 프로그램명 '쇼미더머니' 프로듀서 참여</t>
        </is>
      </c>
      <c r="H15" s="4" t="inlineStr"/>
      <c r="I15" s="4" t="inlineStr"/>
    </row>
    <row r="16">
      <c r="A16" t="n">
        <v>15</v>
      </c>
      <c r="B16" t="inlineStr">
        <is>
          <t>TWICE</t>
        </is>
      </c>
      <c r="C16" t="inlineStr">
        <is>
          <t>spillover</t>
        </is>
      </c>
      <c r="D16" s="3" t="inlineStr">
        <is>
          <t>한국 여성 아티스트 최초로 빌보드 월드앨범차트와 월드디지털송세일즈차트를 동시 석권했다.</t>
        </is>
      </c>
      <c r="E16" t="inlineStr"/>
      <c r="F16" t="inlineStr">
        <is>
          <t>N</t>
        </is>
      </c>
      <c r="G16" t="inlineStr"/>
      <c r="H16" t="inlineStr"/>
      <c r="I16" t="inlineStr"/>
    </row>
    <row r="17">
      <c r="A17" t="n">
        <v>16</v>
      </c>
      <c r="B17" t="inlineStr">
        <is>
          <t>LE SSERAFIM</t>
        </is>
      </c>
      <c r="C17" t="inlineStr">
        <is>
          <t>spillover</t>
        </is>
      </c>
      <c r="D17" s="3" t="inlineStr">
        <is>
          <t>르세라핌, 2023년 10월 루이비통(Louis Vuitton) 하우스 앰버서더로 발탁</t>
        </is>
      </c>
      <c r="E17" t="inlineStr"/>
      <c r="F17" t="inlineStr">
        <is>
          <t>N</t>
        </is>
      </c>
      <c r="G17" t="inlineStr"/>
      <c r="H17" t="inlineStr"/>
      <c r="I17" t="inlineStr"/>
    </row>
    <row r="18">
      <c r="A18" t="n">
        <v>17</v>
      </c>
      <c r="B18" t="inlineStr">
        <is>
          <t>EXO</t>
        </is>
      </c>
      <c r="C18" t="inlineStr">
        <is>
          <t>spillover</t>
        </is>
      </c>
      <c r="D18" s="3" t="inlineStr">
        <is>
          <t>3년 만의 컴백 앨범 'REVERXE' 소식을 빌보드 브라질이 상세 보도</t>
        </is>
      </c>
      <c r="E18" t="inlineStr"/>
      <c r="F18" t="inlineStr">
        <is>
          <t>N</t>
        </is>
      </c>
      <c r="G18" t="inlineStr"/>
      <c r="H18" t="inlineStr"/>
      <c r="I18" t="inlineStr"/>
    </row>
    <row r="19">
      <c r="A19" t="n">
        <v>18</v>
      </c>
      <c r="B19" t="inlineStr">
        <is>
          <t>이영지</t>
        </is>
      </c>
      <c r="C19" t="inlineStr">
        <is>
          <t>spillover</t>
        </is>
      </c>
      <c r="D19" s="3" t="inlineStr">
        <is>
          <t>나타리 뮤직에 이영지 아티스트 프로필 페이지가 개설되어 있다</t>
        </is>
      </c>
      <c r="E19" t="inlineStr"/>
      <c r="F19" t="inlineStr">
        <is>
          <t>N</t>
        </is>
      </c>
      <c r="G19" t="inlineStr"/>
      <c r="H19" t="inlineStr"/>
      <c r="I19" t="inlineStr"/>
    </row>
    <row r="20">
      <c r="A20" t="n">
        <v>19</v>
      </c>
      <c r="B20" t="inlineStr">
        <is>
          <t>박효신</t>
        </is>
      </c>
      <c r="C20" t="inlineStr">
        <is>
          <t>spillover</t>
        </is>
      </c>
      <c r="D20" s="3" t="inlineStr">
        <is>
          <t>중국어 위키백과(维基百科) 박효신 항목에 그가 일본 가수 나카시마 미카(中島美嘉)의 대표곡 '유키노하나'(雪の花, 눈의 꽃)를 커버한 사실이 기록되어 있어, 중화권 정보원에서도 그의 레퍼토리가 일본 음악과 맞닿아 있음이 소개되고 있다.</t>
        </is>
      </c>
      <c r="E20" t="inlineStr"/>
      <c r="F20" t="inlineStr">
        <is>
          <t>N</t>
        </is>
      </c>
      <c r="G20" t="inlineStr"/>
      <c r="H20" t="inlineStr"/>
      <c r="I20" t="inlineStr"/>
    </row>
    <row r="21">
      <c r="A21" s="4" t="n">
        <v>20</v>
      </c>
      <c r="B21" s="4" t="inlineStr">
        <is>
          <t>지코</t>
        </is>
      </c>
      <c r="C21" s="4" t="inlineStr">
        <is>
          <t>loyalty</t>
        </is>
      </c>
      <c r="D21" s="5" t="inlineStr">
        <is>
          <t>2015년 멜론 라디오 프로그램 진행</t>
        </is>
      </c>
      <c r="E21" s="4" t="inlineStr">
        <is>
          <t>라디오</t>
        </is>
      </c>
      <c r="F21" s="4" t="inlineStr">
        <is>
          <t>Y</t>
        </is>
      </c>
      <c r="G21" s="4" t="inlineStr">
        <is>
          <t>라디오 프로그램 진행</t>
        </is>
      </c>
      <c r="H21" s="4" t="inlineStr"/>
      <c r="I21" s="4" t="inlineStr"/>
    </row>
    <row r="22">
      <c r="A22" t="n">
        <v>21</v>
      </c>
      <c r="B22" t="inlineStr">
        <is>
          <t>이영지</t>
        </is>
      </c>
      <c r="C22" t="inlineStr">
        <is>
          <t>spillover</t>
        </is>
      </c>
      <c r="D22" s="3" t="inlineStr">
        <is>
          <t>2024년 6월 발매한 첫 정규 앨범 '16 Fantasy'가 멜론 데일리 차트 1위, 위클리 차트 3주 연속 2위를 기록했다</t>
        </is>
      </c>
      <c r="E22" t="inlineStr"/>
      <c r="F22" t="inlineStr">
        <is>
          <t>N</t>
        </is>
      </c>
      <c r="G22" t="inlineStr"/>
      <c r="H22" t="inlineStr"/>
      <c r="I22" t="inlineStr"/>
    </row>
    <row r="23">
      <c r="A23" t="n">
        <v>22</v>
      </c>
      <c r="B23" t="inlineStr">
        <is>
          <t>박서진</t>
        </is>
      </c>
      <c r="C23" t="inlineStr">
        <is>
          <t>loyalty</t>
        </is>
      </c>
      <c r="D23" s="3" t="inlineStr">
        <is>
          <t>2022년 10월 대전 뮤직페스티벌에서 닻별 회원들은 비가 내리는 와중에도 관객을 위해 좌석을 닦고 공연 후 쓰레기를 치우는 현장 봉사를 했다.</t>
        </is>
      </c>
      <c r="E23" t="inlineStr"/>
      <c r="F23" t="inlineStr">
        <is>
          <t>N</t>
        </is>
      </c>
      <c r="G23" t="inlineStr"/>
      <c r="H23" t="inlineStr"/>
      <c r="I23" t="inlineStr"/>
    </row>
    <row r="24">
      <c r="A24" s="4" t="n">
        <v>23</v>
      </c>
      <c r="B24" s="4" t="inlineStr">
        <is>
          <t>잭스키스</t>
        </is>
      </c>
      <c r="C24" s="4" t="inlineStr">
        <is>
          <t>spillover</t>
        </is>
      </c>
      <c r="D24" s="5" t="inlineStr">
        <is>
          <t>Documentary "Sechskies Eighteen" (2018) ranked #1 in Korean seat sales for February 2018, selling 91.4% of available seats and topping 50,000 tickets sold by March 2018.</t>
        </is>
      </c>
      <c r="E24" s="4" t="inlineStr"/>
      <c r="F24" s="4" t="inlineStr">
        <is>
          <t>Y</t>
        </is>
      </c>
      <c r="G24" s="4" t="inlineStr">
        <is>
          <t>Documentary (영문 다큐·영화)</t>
        </is>
      </c>
      <c r="H24" s="4" t="inlineStr"/>
      <c r="I24" s="4" t="inlineStr"/>
    </row>
    <row r="25">
      <c r="A25" s="4" t="n">
        <v>24</v>
      </c>
      <c r="B25" s="4" t="inlineStr">
        <is>
          <t>거미</t>
        </is>
      </c>
      <c r="C25" s="4" t="inlineStr">
        <is>
          <t>spillover</t>
        </is>
      </c>
      <c r="D25" s="5" t="inlineStr">
        <is>
          <t>거미는 MBC '나는 가수다' 시즌1(2011)에 출연자로 참여했다.</t>
        </is>
      </c>
      <c r="E25" s="4" t="inlineStr"/>
      <c r="F25" s="4" t="inlineStr">
        <is>
          <t>Y</t>
        </is>
      </c>
      <c r="G25" s="4" t="inlineStr">
        <is>
          <t>MBC '나는 가수다' 출연</t>
        </is>
      </c>
      <c r="H25" s="4" t="inlineStr"/>
      <c r="I25" s="4" t="inlineStr"/>
    </row>
    <row r="26">
      <c r="A26" t="n">
        <v>25</v>
      </c>
      <c r="B26" t="inlineStr">
        <is>
          <t>비비</t>
        </is>
      </c>
      <c r="C26" t="inlineStr">
        <is>
          <t>spillover</t>
        </is>
      </c>
      <c r="D26" s="3" t="inlineStr">
        <is>
          <t>남서울대학교 축제 공연에서 비비의 비속어 발언에 현장 관객은 즉각 호응했지만, 온라인에서는 '수천만원 학비로 가수 불렀더니 학교를 깎아내렸다'는 등 부정적 반응이 대부분이었고 관련 영상은 59만 조회수를 기록했다.</t>
        </is>
      </c>
      <c r="E26" t="inlineStr"/>
      <c r="F26" t="inlineStr">
        <is>
          <t>N</t>
        </is>
      </c>
      <c r="G26" t="inlineStr"/>
      <c r="H26" t="inlineStr"/>
      <c r="I26" t="inlineStr"/>
    </row>
    <row r="27">
      <c r="A27" t="n">
        <v>26</v>
      </c>
      <c r="B27" t="inlineStr">
        <is>
          <t>백지영</t>
        </is>
      </c>
      <c r="C27" t="inlineStr">
        <is>
          <t>spillover</t>
        </is>
      </c>
      <c r="D27" s="3" t="inlineStr">
        <is>
          <t>백지영은 2013년 5월 일본에서 첫 단독 콘서트를 매진시켰다.</t>
        </is>
      </c>
      <c r="E27" t="inlineStr"/>
      <c r="F27" t="inlineStr">
        <is>
          <t>N</t>
        </is>
      </c>
      <c r="G27" t="inlineStr"/>
      <c r="H27" t="inlineStr"/>
      <c r="I27" t="inlineStr"/>
    </row>
    <row r="28">
      <c r="A28" t="n">
        <v>27</v>
      </c>
      <c r="B28" t="inlineStr">
        <is>
          <t>동방신기</t>
        </is>
      </c>
      <c r="C28" t="inlineStr">
        <is>
          <t>loyalty</t>
        </is>
      </c>
      <c r="D28" s="3" t="inlineStr">
        <is>
          <t>TVXQ held "2023 TVXQ CONCERT '20&amp;2'" (Dec. 30-31, 2023) marking 20 years since debut and their first concert in ~4 years 9 months; fandom Cassiopeia described as "800,000-strong".</t>
        </is>
      </c>
      <c r="E28" t="inlineStr"/>
      <c r="F28" t="inlineStr">
        <is>
          <t>N</t>
        </is>
      </c>
      <c r="G28" t="inlineStr"/>
      <c r="H28" t="inlineStr"/>
      <c r="I28" t="inlineStr"/>
    </row>
    <row r="29">
      <c r="A29" t="n">
        <v>28</v>
      </c>
      <c r="B29" t="inlineStr">
        <is>
          <t>Stray Kids</t>
        </is>
      </c>
      <c r="C29" t="inlineStr">
        <is>
          <t>spillover</t>
        </is>
      </c>
      <c r="D29" s="3" t="inlineStr">
        <is>
          <t>2026년 5월 기준 한국·일본 앨범 합산 누적 판매량이 4천만 장을 넘어섰다</t>
        </is>
      </c>
      <c r="E29" t="inlineStr"/>
      <c r="F29" t="inlineStr">
        <is>
          <t>N</t>
        </is>
      </c>
      <c r="G29" t="inlineStr"/>
      <c r="H29" t="inlineStr"/>
      <c r="I29" t="inlineStr"/>
    </row>
    <row r="30">
      <c r="A30" s="4" t="n">
        <v>29</v>
      </c>
      <c r="B30" s="4" t="inlineStr">
        <is>
          <t>케이윌</t>
        </is>
      </c>
      <c r="C30" s="4" t="inlineStr">
        <is>
          <t>spillover</t>
        </is>
      </c>
      <c r="D30" s="5" t="inlineStr">
        <is>
          <t>Set a record of five consecutive wins on Immortal Songs 2 before departing in January 2012, and appeared as a "Master" on the singing-competition show Tomorrow's National Singer (August 2021)</t>
        </is>
      </c>
      <c r="E30" s="4" t="inlineStr"/>
      <c r="F30" s="4" t="inlineStr">
        <is>
          <t>Y</t>
        </is>
      </c>
      <c r="G30" s="4" t="inlineStr">
        <is>
          <t>Immortal Songs 2 / singing-competition show (영문 예능)</t>
        </is>
      </c>
      <c r="H30" s="4" t="inlineStr"/>
      <c r="I30" s="4" t="inlineStr"/>
    </row>
    <row r="31">
      <c r="A31" t="n">
        <v>30</v>
      </c>
      <c r="B31" t="inlineStr">
        <is>
          <t>보아</t>
        </is>
      </c>
      <c r="C31" t="inlineStr">
        <is>
          <t>loyalty</t>
        </is>
      </c>
      <c r="D31" s="3" t="inlineStr">
        <is>
          <t>BoA established a new fan club "Jumping BoA 1기" after leaving SM Entertainment in 2026 and founding her own agency BApal Entertainment; recruitment ran from the 1st to the 17th (2026), as the first artist on fandom platform PLEDGE by day1dream</t>
        </is>
      </c>
      <c r="E31" t="inlineStr"/>
      <c r="F31" t="inlineStr">
        <is>
          <t>N</t>
        </is>
      </c>
      <c r="G31" t="inlineStr"/>
      <c r="H31" t="inlineStr"/>
      <c r="I31" t="inlineStr"/>
    </row>
    <row r="32">
      <c r="A32" t="n">
        <v>31</v>
      </c>
      <c r="B32" t="inlineStr">
        <is>
          <t>STAYC</t>
        </is>
      </c>
      <c r="C32" t="inlineStr">
        <is>
          <t>spillover</t>
        </is>
      </c>
      <c r="D32" s="3" t="inlineStr">
        <is>
          <t>넥슨이 온라인 액션 RPG '엘소드(Elsword)'의 공식 홍보 모델로 걸그룹 STAYC를 발탁하고 신곡 'Bubble' 콘셉트의 협업 콘텐츠를 선보였다(2023년 8월 17일).</t>
        </is>
      </c>
      <c r="E32" t="inlineStr"/>
      <c r="F32" t="inlineStr">
        <is>
          <t>N</t>
        </is>
      </c>
      <c r="G32" t="inlineStr"/>
      <c r="H32" t="inlineStr"/>
      <c r="I32" t="inlineStr"/>
    </row>
    <row r="33">
      <c r="A33" t="n">
        <v>32</v>
      </c>
      <c r="B33" t="inlineStr">
        <is>
          <t>(여자)아이들</t>
        </is>
      </c>
      <c r="C33" t="inlineStr">
        <is>
          <t>spillover</t>
        </is>
      </c>
      <c r="D33" s="3" t="inlineStr">
        <is>
          <t>홍콩 HK01은 (여자)아이들의 곡 "Wife"에 대해 "含大量性暗示「歌詞中文意思曝光」直逼19禁"라는 제목으로 가사 중문 번역과 함께 선정성 논란을 보도했다.</t>
        </is>
      </c>
      <c r="E33" t="inlineStr"/>
      <c r="F33" t="inlineStr">
        <is>
          <t>N</t>
        </is>
      </c>
      <c r="G33" t="inlineStr"/>
      <c r="H33" t="inlineStr"/>
      <c r="I33" t="inlineStr"/>
    </row>
    <row r="34">
      <c r="A34" t="n">
        <v>33</v>
      </c>
      <c r="B34" t="inlineStr">
        <is>
          <t>나훈아</t>
        </is>
      </c>
      <c r="C34" t="inlineStr">
        <is>
          <t>loyalty</t>
        </is>
      </c>
      <c r="D34" s="3" t="inlineStr">
        <is>
          <t>His 2024 "고마웠습니다 - 라스트 콘서트" (farewell tour) sold out virtually instantly, triggering a wave of scalping activity.</t>
        </is>
      </c>
      <c r="E34" t="inlineStr"/>
      <c r="F34" t="inlineStr">
        <is>
          <t>N</t>
        </is>
      </c>
      <c r="G34" t="inlineStr"/>
      <c r="H34" t="inlineStr"/>
      <c r="I34" t="inlineStr"/>
    </row>
    <row r="35">
      <c r="A35" t="n">
        <v>34</v>
      </c>
      <c r="B35" t="inlineStr">
        <is>
          <t>박재범</t>
        </is>
      </c>
      <c r="C35" t="inlineStr">
        <is>
          <t>spillover</t>
        </is>
      </c>
      <c r="D35" s="3" t="inlineStr">
        <is>
          <t>원소주 팝업스토어는 열릴 때마다 전량 매진되는 등 오프라인 유통에서도 화제를 모았다.</t>
        </is>
      </c>
      <c r="E35" t="inlineStr"/>
      <c r="F35" t="inlineStr">
        <is>
          <t>N</t>
        </is>
      </c>
      <c r="G35" t="inlineStr"/>
      <c r="H35" t="inlineStr"/>
      <c r="I35" t="inlineStr"/>
    </row>
    <row r="36">
      <c r="A36" s="4" t="n">
        <v>35</v>
      </c>
      <c r="B36" s="4" t="inlineStr">
        <is>
          <t>SEVENTEEN</t>
        </is>
      </c>
      <c r="C36" s="4" t="inlineStr">
        <is>
          <t>spillover</t>
        </is>
      </c>
      <c r="D36" s="5" t="inlineStr">
        <is>
          <t>세븐틴이 2015년 SBS '런닝맨', 2019년 JTBC '아는 형님'에 출연했다.</t>
        </is>
      </c>
      <c r="E36" s="4" t="inlineStr"/>
      <c r="F36" s="4" t="inlineStr">
        <is>
          <t>Y</t>
        </is>
      </c>
      <c r="G36" s="4" t="inlineStr">
        <is>
          <t>SBS '런닝맨', JTBC '아는 형님' 출연</t>
        </is>
      </c>
      <c r="H36" s="4" t="inlineStr"/>
      <c r="I36" s="4" t="inlineStr"/>
    </row>
    <row r="37">
      <c r="A37" t="n">
        <v>36</v>
      </c>
      <c r="B37" t="inlineStr">
        <is>
          <t>BABYMONSTER</t>
        </is>
      </c>
      <c r="C37" t="inlineStr">
        <is>
          <t>spillover</t>
        </is>
      </c>
      <c r="D37" s="3" t="inlineStr">
        <is>
          <t>튀르키예 방송사 TGRT Haber는 BABYMONSTER를 'YENİ BLACKPINK(새로운 블랙핑크)'로 소개하며 멤버 국적과 나이, 데뷔곡 'Batter Up' 발매 소식을 전했다.</t>
        </is>
      </c>
      <c r="E37" t="inlineStr"/>
      <c r="F37" t="inlineStr">
        <is>
          <t>N</t>
        </is>
      </c>
      <c r="G37" t="inlineStr"/>
      <c r="H37" t="inlineStr"/>
      <c r="I37" t="inlineStr"/>
    </row>
    <row r="38">
      <c r="A38" t="n">
        <v>37</v>
      </c>
      <c r="B38" t="inlineStr">
        <is>
          <t>아이유</t>
        </is>
      </c>
      <c r="C38" t="inlineStr">
        <is>
          <t>spillover</t>
        </is>
      </c>
      <c r="D38" s="3" t="inlineStr">
        <is>
          <t>구찌(GUCCI)가 2022년 아이유를 글로벌 앰버서더로 발탁한 데 이어, 2024년 2월 마리끌레르 코리아와 함께한 '비욘드 장르(Beyond Genre)' 화보를 통해 2024년에도 구찌 캠페인 모델 활동을 이어갔다.</t>
        </is>
      </c>
      <c r="E38" t="inlineStr"/>
      <c r="F38" t="inlineStr">
        <is>
          <t>N</t>
        </is>
      </c>
      <c r="G38" t="inlineStr"/>
      <c r="H38" t="inlineStr"/>
      <c r="I38" t="inlineStr"/>
    </row>
    <row r="39">
      <c r="A39" t="n">
        <v>38</v>
      </c>
      <c r="B39" t="inlineStr">
        <is>
          <t>BTS</t>
        </is>
      </c>
      <c r="C39" t="inlineStr">
        <is>
          <t>loyalty</t>
        </is>
      </c>
      <c r="D39" s="3" t="inlineStr">
        <is>
          <t>BARKS가 BTS의 뉴욕 그랜드 센트럴역 'ON' 깜짝 무대 소식을 팬 반응과 함께 보도했다</t>
        </is>
      </c>
      <c r="E39" t="inlineStr"/>
      <c r="F39" t="inlineStr">
        <is>
          <t>N</t>
        </is>
      </c>
      <c r="G39" t="inlineStr"/>
      <c r="H39" t="inlineStr"/>
      <c r="I39" t="inlineStr"/>
    </row>
    <row r="40">
      <c r="A40" t="n">
        <v>39</v>
      </c>
      <c r="B40" t="inlineStr">
        <is>
          <t>최예나</t>
        </is>
      </c>
      <c r="C40" t="inlineStr">
        <is>
          <t>spillover</t>
        </is>
      </c>
      <c r="D40" s="3" t="inlineStr">
        <is>
          <t>최예나, 신곡 제목 'Hate Rodrigo'가 올리비아 로드리고 겨냥한 것 아니냐는 논란</t>
        </is>
      </c>
      <c r="E40" t="inlineStr"/>
      <c r="F40" t="inlineStr">
        <is>
          <t>N</t>
        </is>
      </c>
      <c r="G40" t="inlineStr"/>
      <c r="H40" t="inlineStr"/>
      <c r="I40" t="inlineStr"/>
    </row>
    <row r="41">
      <c r="A41" t="n">
        <v>40</v>
      </c>
      <c r="B41" t="inlineStr">
        <is>
          <t>GOT7</t>
        </is>
      </c>
      <c r="C41" t="inlineStr">
        <is>
          <t>spillover</t>
        </is>
      </c>
      <c r="D41" s="3" t="inlineStr">
        <is>
          <t>잭슨 왕의 첫 정규앨범 'Mirrors'(2019)는 빌보드 인디펜던트 앨범 차트 1위, 빌보드 200 32위에 오르며 중국 국적 아티스트의 정규앨범으로는 역대 최고 빌보드 200 진입 기록을 세웠다.</t>
        </is>
      </c>
      <c r="E41" t="inlineStr"/>
      <c r="F41" t="inlineStr">
        <is>
          <t>N</t>
        </is>
      </c>
      <c r="G41" t="inlineStr"/>
      <c r="H41" t="inlineStr"/>
      <c r="I41" t="inlineStr"/>
    </row>
    <row r="42">
      <c r="A42" t="n">
        <v>41</v>
      </c>
      <c r="B42" t="inlineStr">
        <is>
          <t>CORTIS</t>
        </is>
      </c>
      <c r="C42" t="inlineStr">
        <is>
          <t>loyalty</t>
        </is>
      </c>
      <c r="D42" s="3" t="inlineStr">
        <is>
          <t>일본 문화 매체 SPUR(일본어)는 CORTIS의 첫 단독 일본 투어 마지막 공연(2026년 9월 4~6일, 요코하마 피아 아레나 MM)에서 투어명 'PUT YOUR PHONE DOWN'의 취지대로 팬들이 휴대폰을 내려놓고 공식 앱 'PYPD'로 점프 횟수를 기록하며 열광했고, 최연소 멤버 곤호가 '2~4층 관객까지 다 보이고 목소리가 들렸다'고 소감을 밝혔으며 미공개곡 'NANI'를 깜짝 공개했다고 보도했다.</t>
        </is>
      </c>
      <c r="E42" t="inlineStr"/>
      <c r="F42" t="inlineStr">
        <is>
          <t>N</t>
        </is>
      </c>
      <c r="G42" t="inlineStr"/>
      <c r="H42" t="inlineStr"/>
      <c r="I42" t="inlineStr"/>
    </row>
    <row r="43">
      <c r="A43" t="n">
        <v>42</v>
      </c>
      <c r="B43" t="inlineStr">
        <is>
          <t>아이유</t>
        </is>
      </c>
      <c r="C43" t="inlineStr">
        <is>
          <t>spillover</t>
        </is>
      </c>
      <c r="D43" s="3" t="inlineStr">
        <is>
          <t>우리은행이 퇴직연금 갈아타기 캠페인 광고에 아이유를 출연시켜 공개했다(2024년 10월).</t>
        </is>
      </c>
      <c r="E43" t="inlineStr"/>
      <c r="F43" t="inlineStr">
        <is>
          <t>N</t>
        </is>
      </c>
      <c r="G43" t="inlineStr"/>
      <c r="H43" t="inlineStr"/>
      <c r="I43" t="inlineStr"/>
    </row>
    <row r="44">
      <c r="A44" t="n">
        <v>43</v>
      </c>
      <c r="B44" t="inlineStr">
        <is>
          <t>Zion.T</t>
        </is>
      </c>
      <c r="C44" t="inlineStr">
        <is>
          <t>spillover</t>
        </is>
      </c>
      <c r="D44" s="3" t="inlineStr">
        <is>
          <t>Zion.T의 '꺼내 먹어요'는 공개와 함께 여러 음원차트에서 1위를 차지했으며 멜론 연간차트 3위에 올랐다</t>
        </is>
      </c>
      <c r="E44" t="inlineStr"/>
      <c r="F44" t="inlineStr">
        <is>
          <t>N</t>
        </is>
      </c>
      <c r="G44" t="inlineStr"/>
      <c r="H44" t="inlineStr"/>
      <c r="I44" t="inlineStr"/>
    </row>
    <row r="45">
      <c r="A45" t="n">
        <v>44</v>
      </c>
      <c r="B45" t="inlineStr">
        <is>
          <t>Stray Kids</t>
        </is>
      </c>
      <c r="C45" t="inlineStr">
        <is>
          <t>loyalty</t>
        </is>
      </c>
      <c r="D45" s="3" t="inlineStr">
        <is>
          <t>Main vokalnya STAY dari seluruh dunia. Luar biasa bagus sekali.</t>
        </is>
      </c>
      <c r="E45" t="inlineStr"/>
      <c r="F45" t="inlineStr">
        <is>
          <t>N</t>
        </is>
      </c>
      <c r="G45" t="inlineStr"/>
      <c r="H45" t="inlineStr"/>
      <c r="I45" t="inlineStr"/>
    </row>
    <row r="46">
      <c r="A46" t="n">
        <v>45</v>
      </c>
      <c r="B46" t="inlineStr">
        <is>
          <t>지코</t>
        </is>
      </c>
      <c r="C46" t="inlineStr">
        <is>
          <t>spillover</t>
        </is>
      </c>
      <c r="D46" s="3" t="inlineStr">
        <is>
          <t>WebFetch로 직접 열람해 아랍어 본문임을 확인함. 아랍어 백과사전 '아라비카(3rabica.org)'에 지코가 1992년 9월 14일생 한국 음반 프로듀서 겸 작곡가 겸 가수라는 사실이 아랍어로 기재되어 있다.</t>
        </is>
      </c>
      <c r="E46" t="inlineStr"/>
      <c r="F46" t="inlineStr">
        <is>
          <t>N</t>
        </is>
      </c>
      <c r="G46" t="inlineStr"/>
      <c r="H46" t="inlineStr"/>
      <c r="I46" t="inlineStr"/>
    </row>
    <row r="47">
      <c r="A47" t="n">
        <v>46</v>
      </c>
      <c r="B47" t="inlineStr">
        <is>
          <t>임영웅</t>
        </is>
      </c>
      <c r="C47" t="inlineStr">
        <is>
          <t>spillover</t>
        </is>
      </c>
      <c r="D47" s="3" t="inlineStr">
        <is>
          <t>임영웅의 2026년 전국투어 '아임 히어로'가 인천·대구·서울·광주·대전·부산 등 7개 지역 24회 공연에서 총 25만 2천 명을 동원하며 전 회차 전석 매진, 평균 티켓가 기준 400억 원 이상의 티켓 매출을 기록함</t>
        </is>
      </c>
      <c r="E47" t="inlineStr"/>
      <c r="F47" t="inlineStr">
        <is>
          <t>N</t>
        </is>
      </c>
      <c r="G47" t="inlineStr"/>
      <c r="H47" t="inlineStr"/>
      <c r="I47" t="inlineStr"/>
    </row>
    <row r="48">
      <c r="A48" t="n">
        <v>47</v>
      </c>
      <c r="B48" t="inlineStr">
        <is>
          <t>임영웅</t>
        </is>
      </c>
      <c r="C48" t="inlineStr">
        <is>
          <t>loyalty</t>
        </is>
      </c>
      <c r="D48" s="3" t="inlineStr">
        <is>
          <t>임영웅 팬클럽 '영웅시대 with Hero 경기3지부'는 지역 단위로 따뜻한 기부 활동을 진행했다.</t>
        </is>
      </c>
      <c r="E48" t="inlineStr"/>
      <c r="F48" t="inlineStr">
        <is>
          <t>N</t>
        </is>
      </c>
      <c r="G48" t="inlineStr"/>
      <c r="H48" t="inlineStr"/>
      <c r="I48" t="inlineStr"/>
    </row>
    <row r="49">
      <c r="A49" t="n">
        <v>48</v>
      </c>
      <c r="B49" t="inlineStr">
        <is>
          <t>조용필</t>
        </is>
      </c>
      <c r="C49" t="inlineStr">
        <is>
          <t>loyalty</t>
        </is>
      </c>
      <c r="D49" s="3" t="inlineStr">
        <is>
          <t>2021년 화성시에서 '문화공작소·화성 협동조합'이 창립돼 조용필 기념공간 조성, 도로명 지정, 음악관 건립 등이 중장기 계획으로 추진되고 있다.</t>
        </is>
      </c>
      <c r="E49" t="inlineStr"/>
      <c r="F49" t="inlineStr">
        <is>
          <t>N</t>
        </is>
      </c>
      <c r="G49" t="inlineStr"/>
      <c r="H49" t="inlineStr"/>
      <c r="I49" t="inlineStr"/>
    </row>
    <row r="50">
      <c r="A50" t="n">
        <v>49</v>
      </c>
      <c r="B50" t="inlineStr">
        <is>
          <t>BTS</t>
        </is>
      </c>
      <c r="C50" t="inlineStr">
        <is>
          <t>spillover</t>
        </is>
      </c>
      <c r="D50" s="3" t="inlineStr">
        <is>
          <t>BTS는 한국 대중음악 최초로 그래미 어워드 후보에 오르며 K팝의 서구 시상식 진입 흐름을 이끌었다</t>
        </is>
      </c>
      <c r="E50" t="inlineStr"/>
      <c r="F50" t="inlineStr">
        <is>
          <t>N</t>
        </is>
      </c>
      <c r="G50" t="inlineStr"/>
      <c r="H50" t="inlineStr"/>
      <c r="I50" t="inlineStr"/>
    </row>
    <row r="51">
      <c r="A51" t="n">
        <v>50</v>
      </c>
      <c r="B51" t="inlineStr">
        <is>
          <t>EXO</t>
        </is>
      </c>
      <c r="C51" t="inlineStr">
        <is>
          <t>spillover</t>
        </is>
      </c>
      <c r="D51" s="3" t="inlineStr">
        <is>
          <t>세훈은 2026년 7월 디올(Dior)의 방콕 시암 파라곤 부티크 오프닝 행사에 참석해 디올 룩을 선보이며 '디올의 남자'로 소개됐다.</t>
        </is>
      </c>
      <c r="E51" t="inlineStr"/>
      <c r="F51" t="inlineStr">
        <is>
          <t>N</t>
        </is>
      </c>
      <c r="G51" t="inlineStr"/>
      <c r="H51" t="inlineStr"/>
      <c r="I51" t="inlineStr"/>
    </row>
    <row r="52">
      <c r="A52" t="n">
        <v>51</v>
      </c>
      <c r="B52" t="inlineStr">
        <is>
          <t>NewJeans</t>
        </is>
      </c>
      <c r="C52" t="inlineStr">
        <is>
          <t>spillover</t>
        </is>
      </c>
      <c r="D52" s="3" t="inlineStr">
        <is>
          <t>뉴진스가 2024년 5월 데뷔 후 최다인 7개 대학 축제 무대에 올라 '뜨거운 호응'을 얻었으며, 신곡 발매 시점에 맞춘 출연으로 대중적 친근감을 높였다는 평가를 받았다. 뉴진스는 해당 출연료 전액을 기부해 화제를 더했다.</t>
        </is>
      </c>
      <c r="E52" t="inlineStr"/>
      <c r="F52" t="inlineStr">
        <is>
          <t>N</t>
        </is>
      </c>
      <c r="G52" t="inlineStr"/>
      <c r="H52" t="inlineStr"/>
      <c r="I52" t="inlineStr"/>
    </row>
    <row r="53">
      <c r="A53" t="n">
        <v>52</v>
      </c>
      <c r="B53" t="inlineStr">
        <is>
          <t>임영웅</t>
        </is>
      </c>
      <c r="C53" t="inlineStr">
        <is>
          <t>spillover</t>
        </is>
      </c>
      <c r="D53" s="3" t="inlineStr">
        <is>
          <t>15 of his songs simultaneously entered Billboard Korea's "Hot 100" main chart in the week of April 2, 2026, marking 19 consecutive weeks of chart entries</t>
        </is>
      </c>
      <c r="E53" t="inlineStr"/>
      <c r="F53" t="inlineStr">
        <is>
          <t>N</t>
        </is>
      </c>
      <c r="G53" t="inlineStr"/>
      <c r="H53" t="inlineStr"/>
      <c r="I53" t="inlineStr"/>
    </row>
    <row r="54">
      <c r="A54" t="n">
        <v>53</v>
      </c>
      <c r="B54" t="inlineStr">
        <is>
          <t>마마무</t>
        </is>
      </c>
      <c r="C54" t="inlineStr">
        <is>
          <t>spillover</t>
        </is>
      </c>
      <c r="D54" s="3" t="inlineStr">
        <is>
          <t>KPOPNA가 마마무를 Rainbow Bridge World(현 WA엔터테인먼트) 산하 2014년 6월 18일 데뷔 4인조로, 멤버(솔라·문별·휘인·화사)의 리더·포지션 정보를 아랍어로 기술함(WebFetch로 확인).</t>
        </is>
      </c>
      <c r="E54" t="inlineStr"/>
      <c r="F54" t="inlineStr">
        <is>
          <t>N</t>
        </is>
      </c>
      <c r="G54" t="inlineStr"/>
      <c r="H54" t="inlineStr"/>
      <c r="I54" t="inlineStr"/>
    </row>
    <row r="55">
      <c r="A55" s="4" t="n">
        <v>54</v>
      </c>
      <c r="B55" s="4" t="inlineStr">
        <is>
          <t>소녀시대</t>
        </is>
      </c>
      <c r="C55" s="4" t="inlineStr">
        <is>
          <t>spillover</t>
        </is>
      </c>
      <c r="D55" s="5" t="inlineStr">
        <is>
          <t>소녀시대는 미국 데뷔 싱글 'The Boys' 프로모션을 위해 2012년 1월 31일 CBS '데이빗 레터맨의 레이트 쇼(Late Show with David Letterman)'에, 2월 1일에는 'Live! with Kelly'에 출연했다. 'The Boys'는 2012년 1월 17일 미국에서 물리 음반으로 발매되며 소녀시대의 미국 내 첫 정식 음반 발매가 되었다.</t>
        </is>
      </c>
      <c r="E55" s="4" t="inlineStr"/>
      <c r="F55" s="4" t="inlineStr">
        <is>
          <t>Y</t>
        </is>
      </c>
      <c r="G55" s="4" t="inlineStr">
        <is>
          <t>CBS Late Show, Live! with Kelly 출연(미국 TV)</t>
        </is>
      </c>
      <c r="H55" s="4" t="inlineStr"/>
      <c r="I55" s="4" t="inlineStr"/>
    </row>
    <row r="56">
      <c r="A56" t="n">
        <v>55</v>
      </c>
      <c r="B56" t="inlineStr">
        <is>
          <t>프로미스나인</t>
        </is>
      </c>
      <c r="C56" t="inlineStr">
        <is>
          <t>spillover</t>
        </is>
      </c>
      <c r="D56" s="3" t="inlineStr">
        <is>
          <t>마리끌레르 코리아가 프로미스나인 이채영, 이나경의 화보와 인터뷰를 게재하며 정규 2집 'Glow ME' 활동, 첫 해외투어, 음악방송 1위, 앙코르 콘서트 등 최근 성과를 조명했다.</t>
        </is>
      </c>
      <c r="E56" t="inlineStr"/>
      <c r="F56" t="inlineStr">
        <is>
          <t>N</t>
        </is>
      </c>
      <c r="G56" t="inlineStr"/>
      <c r="H56" t="inlineStr"/>
      <c r="I56" t="inlineStr"/>
    </row>
    <row r="57">
      <c r="A57" t="n">
        <v>56</v>
      </c>
      <c r="B57" t="inlineStr">
        <is>
          <t>BLACKPINK</t>
        </is>
      </c>
      <c r="C57" t="inlineStr">
        <is>
          <t>loyalty</t>
        </is>
      </c>
      <c r="D57" s="3" t="inlineStr">
        <is>
          <t>홍콩 HK01은 블랙핑크 홍콩 카이탁(啟德) 콘서트 종료 당시 멤버들이 눈물을 흘리며 서로 껴안은 장면을 "巡演落幕成員淚灑互相緊抱"라는 제목으로 현장 보도했다.</t>
        </is>
      </c>
      <c r="E57" t="inlineStr"/>
      <c r="F57" t="inlineStr">
        <is>
          <t>N</t>
        </is>
      </c>
      <c r="G57" t="inlineStr"/>
      <c r="H57" t="inlineStr"/>
      <c r="I57" t="inlineStr"/>
    </row>
    <row r="58">
      <c r="A58" t="n">
        <v>57</v>
      </c>
      <c r="B58" t="inlineStr">
        <is>
          <t>빈지노</t>
        </is>
      </c>
      <c r="C58" t="inlineStr">
        <is>
          <t>spillover</t>
        </is>
      </c>
      <c r="D58" s="3" t="inlineStr">
        <is>
          <t>언더그라운드 출신 래퍼 빈지노가 소속된 1LLIONAIRE RECORDS와 2012년 발표한 데뷔 앨범 '24:26' 수록곡 'Aqua Man'을 프랑스 한국문화 블로그가 소개했다.</t>
        </is>
      </c>
      <c r="E58" t="inlineStr"/>
      <c r="F58" t="inlineStr">
        <is>
          <t>N</t>
        </is>
      </c>
      <c r="G58" t="inlineStr"/>
      <c r="H58" t="inlineStr"/>
      <c r="I58" t="inlineStr"/>
    </row>
    <row r="59">
      <c r="A59" t="n">
        <v>58</v>
      </c>
      <c r="B59" t="inlineStr">
        <is>
          <t>성시경</t>
        </is>
      </c>
      <c r="C59" t="inlineStr">
        <is>
          <t>spillover</t>
        </is>
      </c>
      <c r="D59" s="3" t="inlineStr">
        <is>
          <t>5월에 지인의 결혼식 축가 콘서트 관련 일정을 예고하며 팬들의 지지를 요청, 개인적 이벤트에까지 팬덤을 동원할 수 있는 파급력을 보였다</t>
        </is>
      </c>
      <c r="E59" t="inlineStr"/>
      <c r="F59" t="inlineStr">
        <is>
          <t>N</t>
        </is>
      </c>
      <c r="G59" t="inlineStr"/>
      <c r="H59" t="inlineStr"/>
      <c r="I59" t="inlineStr"/>
    </row>
    <row r="60">
      <c r="A60" t="n">
        <v>59</v>
      </c>
      <c r="B60" t="inlineStr">
        <is>
          <t>조용필</t>
        </is>
      </c>
      <c r="C60" t="inlineStr">
        <is>
          <t>spillover</t>
        </is>
      </c>
      <c r="D60" s="3" t="inlineStr">
        <is>
          <t>조용필은 일본 싱글 '미오 미오 미오'(1982)로 오리콘 차트 29위·26만 장 판매를, '생각지도 않았는데(Lost in Thoughts)'(1986)로는 오리콘 13위를 기록했다.</t>
        </is>
      </c>
      <c r="E60" t="inlineStr"/>
      <c r="F60" t="inlineStr">
        <is>
          <t>N</t>
        </is>
      </c>
      <c r="G60" t="inlineStr"/>
      <c r="H60" t="inlineStr"/>
      <c r="I60" t="inlineStr"/>
    </row>
    <row r="61">
      <c r="A61" t="n">
        <v>60</v>
      </c>
      <c r="B61" t="inlineStr">
        <is>
          <t>BLACKPINK</t>
        </is>
      </c>
      <c r="C61" t="inlineStr">
        <is>
          <t>spillover</t>
        </is>
      </c>
      <c r="D61" s="3" t="inlineStr">
        <is>
          <t>도쿄돔 공연을 포함한 'Deadline World Tour' 2026 일정이 별도로 안내되는 등 해외 대형 공연장 단위로 화제성이 이어지고 있음</t>
        </is>
      </c>
      <c r="E61" t="inlineStr"/>
      <c r="F61" t="inlineStr">
        <is>
          <t>N</t>
        </is>
      </c>
      <c r="G61" t="inlineStr"/>
      <c r="H61" t="inlineStr"/>
      <c r="I61" t="inlineStr"/>
    </row>
    <row r="62">
      <c r="A62" t="n">
        <v>61</v>
      </c>
      <c r="B62" t="inlineStr">
        <is>
          <t>RIIZE</t>
        </is>
      </c>
      <c r="C62" t="inlineStr">
        <is>
          <t>spillover</t>
        </is>
      </c>
      <c r="D62" s="3" t="inlineStr">
        <is>
          <t>경제매체 Exame이 'RIIZE의 롤라팔루자 출연은 K팝의 브라질 페스티벌 최초 대규모 진출'이라 평가</t>
        </is>
      </c>
      <c r="E62" t="inlineStr"/>
      <c r="F62" t="inlineStr">
        <is>
          <t>N</t>
        </is>
      </c>
      <c r="G62" t="inlineStr"/>
      <c r="H62" t="inlineStr"/>
      <c r="I62" t="inlineStr"/>
    </row>
    <row r="63">
      <c r="A63" t="n">
        <v>62</v>
      </c>
      <c r="B63" t="inlineStr">
        <is>
          <t>지드래곤 (G-Dragon)</t>
        </is>
      </c>
      <c r="C63" t="inlineStr">
        <is>
          <t>spillover</t>
        </is>
      </c>
      <c r="D63" s="3" t="inlineStr">
        <is>
          <t>APEC 홍보대사 관련 홍보 영상이 2025년 10월 27일 기준 조회수 1700만 회를 돌파했다</t>
        </is>
      </c>
      <c r="E63" t="inlineStr"/>
      <c r="F63" t="inlineStr">
        <is>
          <t>N</t>
        </is>
      </c>
      <c r="G63" t="inlineStr"/>
      <c r="H63" t="inlineStr"/>
      <c r="I63" t="inlineStr"/>
    </row>
    <row r="64">
      <c r="A64" t="n">
        <v>63</v>
      </c>
      <c r="B64" t="inlineStr">
        <is>
          <t>권은비</t>
        </is>
      </c>
      <c r="C64" t="inlineStr">
        <is>
          <t>spillover</t>
        </is>
      </c>
      <c r="D64" s="3" t="inlineStr">
        <is>
          <t>권은비가 글로벌 아이웨어 브랜드 '볼론(BOLON)'의 브랜드 앰버서더로 선정돼 'Modern Essentialism' 캠페인에 참여했다.</t>
        </is>
      </c>
      <c r="E64" t="inlineStr"/>
      <c r="F64" t="inlineStr">
        <is>
          <t>N</t>
        </is>
      </c>
      <c r="G64" t="inlineStr"/>
      <c r="H64" t="inlineStr"/>
      <c r="I64" t="inlineStr"/>
    </row>
    <row r="65">
      <c r="A65" t="n">
        <v>64</v>
      </c>
      <c r="B65" t="inlineStr">
        <is>
          <t>카더가든</t>
        </is>
      </c>
      <c r="C65" t="inlineStr">
        <is>
          <t>spillover</t>
        </is>
      </c>
      <c r="D65" s="3" t="inlineStr">
        <is>
          <t>카더가든이 인천 인하대학교 축제 무대에 올라 신곡 '나무'를 학생들과 함께 부르며 화제가 되었다.</t>
        </is>
      </c>
      <c r="E65" t="inlineStr"/>
      <c r="F65" t="inlineStr">
        <is>
          <t>N</t>
        </is>
      </c>
      <c r="G65" t="inlineStr"/>
      <c r="H65" t="inlineStr"/>
      <c r="I65" t="inlineStr"/>
    </row>
    <row r="66">
      <c r="A66" t="n">
        <v>65</v>
      </c>
      <c r="B66" t="inlineStr">
        <is>
          <t>SEVENTEEN</t>
        </is>
      </c>
      <c r="C66" t="inlineStr">
        <is>
          <t>loyalty</t>
        </is>
      </c>
      <c r="D66" s="3" t="inlineStr">
        <is>
          <t>브라질 공연 티켓 예매가 UCI를 통해 시작된다고 현지 매체 Zukka Brasil이 보도</t>
        </is>
      </c>
      <c r="E66" t="inlineStr"/>
      <c r="F66" t="inlineStr">
        <is>
          <t>N</t>
        </is>
      </c>
      <c r="G66" t="inlineStr"/>
      <c r="H66" t="inlineStr"/>
      <c r="I66" t="inlineStr"/>
    </row>
    <row r="67">
      <c r="A67" t="n">
        <v>66</v>
      </c>
      <c r="B67" t="inlineStr">
        <is>
          <t>ATEEZ</t>
        </is>
      </c>
      <c r="C67" t="inlineStr">
        <is>
          <t>spillover</t>
        </is>
      </c>
      <c r="D67" s="3" t="inlineStr">
        <is>
          <t>IOL(Cape Argus)이 스포티파이 데이터를 인용해, 남아공이 1위를 차지한 사하라 이남 아프리카 K-pop 스트리밍 시장에서 에이티즈(Ateez)가 아티스트 순위 8위에 올랐다고 보도했다.</t>
        </is>
      </c>
      <c r="E67" t="inlineStr"/>
      <c r="F67" t="inlineStr">
        <is>
          <t>N</t>
        </is>
      </c>
      <c r="G67" t="inlineStr"/>
      <c r="H67" t="inlineStr"/>
      <c r="I67" t="inlineStr"/>
    </row>
    <row r="68">
      <c r="A68" t="n">
        <v>67</v>
      </c>
      <c r="B68" t="inlineStr">
        <is>
          <t>DAY6</t>
        </is>
      </c>
      <c r="C68" t="inlineStr">
        <is>
          <t>spillover</t>
        </is>
      </c>
      <c r="D68" s="3" t="inlineStr">
        <is>
          <t>인도네시아 매체 Kompas.com은 같은 사태에서 소속사 JYP가 팬들에게 공식 사과했다고 보도해, 현지 팬덤의 대규모 반발이 국제 기획사의 대응을 이끌어낸 사례를 보여줬다</t>
        </is>
      </c>
      <c r="E68" t="inlineStr"/>
      <c r="F68" t="inlineStr">
        <is>
          <t>N</t>
        </is>
      </c>
      <c r="G68" t="inlineStr"/>
      <c r="H68" t="inlineStr"/>
      <c r="I68" t="inlineStr"/>
    </row>
    <row r="69">
      <c r="A69" t="n">
        <v>68</v>
      </c>
      <c r="B69" t="inlineStr">
        <is>
          <t>NewJeans</t>
        </is>
      </c>
      <c r="C69" t="inlineStr">
        <is>
          <t>spillover</t>
        </is>
      </c>
      <c r="D69" s="3" t="inlineStr">
        <is>
          <t>같은 앨범 수록곡 'Super Shy'(48위), 'ETA'(81위), 'Cool With You'(93위)가 빌보드 핫100에 동시 진입해, 한 앨범으로 3곡을 핫100에 올린 최초의 K팝 걸그룹이 됐다.</t>
        </is>
      </c>
      <c r="E69" t="inlineStr"/>
      <c r="F69" t="inlineStr">
        <is>
          <t>N</t>
        </is>
      </c>
      <c r="G69" t="inlineStr"/>
      <c r="H69" t="inlineStr"/>
      <c r="I69" t="inlineStr"/>
    </row>
    <row r="70">
      <c r="A70" t="n">
        <v>69</v>
      </c>
      <c r="B70" t="inlineStr">
        <is>
          <t>HOT</t>
        </is>
      </c>
      <c r="C70" t="inlineStr">
        <is>
          <t>spillover</t>
        </is>
      </c>
      <c r="D70" s="3" t="inlineStr">
        <is>
          <t>H.O.T. 멤버 토니안은 데뷔 30주년을 기념해 무료 팬미팅을 성황리에 개최했다.</t>
        </is>
      </c>
      <c r="E70" t="inlineStr"/>
      <c r="F70" t="inlineStr">
        <is>
          <t>N</t>
        </is>
      </c>
      <c r="G70" t="inlineStr"/>
      <c r="H70" t="inlineStr"/>
      <c r="I70" t="inlineStr"/>
    </row>
    <row r="71">
      <c r="A71" s="4" t="n">
        <v>70</v>
      </c>
      <c r="B71" s="4" t="inlineStr">
        <is>
          <t>DAY6</t>
        </is>
      </c>
      <c r="C71" s="4" t="inlineStr">
        <is>
          <t>spillover</t>
        </is>
      </c>
      <c r="D71" s="5" t="inlineStr">
        <is>
          <t>DAY6 멤버 성진은 2013년 JTBC '히든싱어2'에 출연했고, 그룹은 2016년 3월 24일 V LIVE 채널을 개설해 합주실 라이브 생중계 등 자체 영상 콘텐츠를 시작했다.</t>
        </is>
      </c>
      <c r="E71" s="4" t="inlineStr"/>
      <c r="F71" s="4" t="inlineStr">
        <is>
          <t>Y</t>
        </is>
      </c>
      <c r="G71" s="4" t="inlineStr">
        <is>
          <t>JTBC '히든싱어2' 출연, V LIVE 채널</t>
        </is>
      </c>
      <c r="H71" s="4" t="inlineStr"/>
      <c r="I71" s="4" t="inlineStr"/>
    </row>
    <row r="72">
      <c r="A72" t="n">
        <v>71</v>
      </c>
      <c r="B72" t="inlineStr">
        <is>
          <t>악동뮤지션</t>
        </is>
      </c>
      <c r="C72" t="inlineStr">
        <is>
          <t>spillover</t>
        </is>
      </c>
      <c r="D72" s="3" t="inlineStr">
        <is>
          <t>2026년 신보 'FLOWERING'의 타이틀곡이 국내 주요 음원차트 1위에 올랐고, 서로 다른 곡 6곡이 멜론 데일리차트 1위(그중 한 곡은 53일 연속 포함 총 60일 1위)를 기록해 신곡 발매마다 즉각적인 화제성으로 이어짐을 보여준다</t>
        </is>
      </c>
      <c r="E72" t="inlineStr"/>
      <c r="F72" t="inlineStr">
        <is>
          <t>N</t>
        </is>
      </c>
      <c r="G72" t="inlineStr"/>
      <c r="H72" t="inlineStr"/>
      <c r="I72" t="inlineStr"/>
    </row>
    <row r="73">
      <c r="A73" t="n">
        <v>72</v>
      </c>
      <c r="B73" t="inlineStr">
        <is>
          <t>임영웅</t>
        </is>
      </c>
      <c r="C73" t="inlineStr">
        <is>
          <t>spillover</t>
        </is>
      </c>
      <c r="D73" s="3" t="inlineStr">
        <is>
          <t>삼다수 발탁 한 달 만에 하나은행 모델로도 손흥민을 대체하며 여러 기업이 그의 광고모델 자리를 두고 경쟁하는 양상을 보였고, 이는 2026년 3~7월 스타뉴스 광고모델 브랜드평판 순위에서도 지속적으로 1위를 차지하는 것으로 이어졌다</t>
        </is>
      </c>
      <c r="E73" t="inlineStr"/>
      <c r="F73" t="inlineStr">
        <is>
          <t>N</t>
        </is>
      </c>
      <c r="G73" t="inlineStr"/>
      <c r="H73" t="inlineStr"/>
      <c r="I73" t="inlineStr"/>
    </row>
    <row r="74">
      <c r="A74" t="n">
        <v>73</v>
      </c>
      <c r="B74" t="inlineStr">
        <is>
          <t>SEVENTEEN</t>
        </is>
      </c>
      <c r="C74" t="inlineStr">
        <is>
          <t>loyalty</t>
        </is>
      </c>
      <c r="D74" s="3" t="inlineStr">
        <is>
          <t>준(Jun), iTravel Shenzhen(深圳文旅) 관광대사로 발탁, 고향 선전(深圳) 홍보(2024.2)</t>
        </is>
      </c>
      <c r="E74" t="inlineStr"/>
      <c r="F74" t="inlineStr">
        <is>
          <t>N</t>
        </is>
      </c>
      <c r="G74" t="inlineStr"/>
      <c r="H74" t="inlineStr"/>
      <c r="I74" t="inlineStr"/>
    </row>
    <row r="75">
      <c r="A75" t="n">
        <v>74</v>
      </c>
      <c r="B75" t="inlineStr">
        <is>
          <t>엄정화</t>
        </is>
      </c>
      <c r="C75" t="inlineStr">
        <is>
          <t>loyalty</t>
        </is>
      </c>
      <c r="D75" s="3" t="inlineStr">
        <is>
          <t>고려대학교 입실렌티 2023에서 엄정화가 '무대에 올라갔는데 온통 빨갛고 애들이 꽉 찼더라, 갑자기 없던 기운이 확 생겼다'며 관객들의 떼창에 울컥했다고 밝혔다.</t>
        </is>
      </c>
      <c r="E75" t="inlineStr"/>
      <c r="F75" t="inlineStr">
        <is>
          <t>N</t>
        </is>
      </c>
      <c r="G75" t="inlineStr"/>
      <c r="H75" t="inlineStr"/>
      <c r="I75" t="inlineStr"/>
    </row>
    <row r="76">
      <c r="A76" t="n">
        <v>75</v>
      </c>
      <c r="B76" t="inlineStr">
        <is>
          <t>카더가든</t>
        </is>
      </c>
      <c r="C76" t="inlineStr">
        <is>
          <t>loyalty</t>
        </is>
      </c>
      <c r="D76" s="3" t="inlineStr">
        <is>
          <t>2026년 단독공연 'BLUE HEART' 개최</t>
        </is>
      </c>
      <c r="E76" t="inlineStr"/>
      <c r="F76" t="inlineStr">
        <is>
          <t>N</t>
        </is>
      </c>
      <c r="G76" t="inlineStr"/>
      <c r="H76" t="inlineStr"/>
      <c r="I76" t="inlineStr"/>
    </row>
    <row r="77">
      <c r="A77" t="n">
        <v>76</v>
      </c>
      <c r="B77" t="inlineStr">
        <is>
          <t>RIIZE</t>
        </is>
      </c>
      <c r="C77" t="inlineStr">
        <is>
          <t>spillover</t>
        </is>
      </c>
      <c r="D77" s="3" t="inlineStr">
        <is>
          <t>RIIZE entered the US Mediabase Top 40 radio chart with "Do Your Dance"</t>
        </is>
      </c>
      <c r="E77" t="inlineStr"/>
      <c r="F77" t="inlineStr">
        <is>
          <t>N</t>
        </is>
      </c>
      <c r="G77" t="inlineStr"/>
      <c r="H77" t="inlineStr"/>
      <c r="I77" t="inlineStr"/>
    </row>
    <row r="78">
      <c r="A78" t="n">
        <v>77</v>
      </c>
      <c r="B78" t="inlineStr">
        <is>
          <t>NewJeans</t>
        </is>
      </c>
      <c r="C78" t="inlineStr">
        <is>
          <t>loyalty</t>
        </is>
      </c>
      <c r="D78" s="3" t="inlineStr">
        <is>
          <t>'Get Up' EP가 발매 첫 주 165만 장 판매되었다(2023년 7월).</t>
        </is>
      </c>
      <c r="E78" t="inlineStr"/>
      <c r="F78" t="inlineStr">
        <is>
          <t>N</t>
        </is>
      </c>
      <c r="G78" t="inlineStr"/>
      <c r="H78" t="inlineStr"/>
      <c r="I78" t="inlineStr"/>
    </row>
    <row r="79">
      <c r="A79" t="n">
        <v>78</v>
      </c>
      <c r="B79" t="inlineStr">
        <is>
          <t>(여자)아이들</t>
        </is>
      </c>
      <c r="C79" t="inlineStr">
        <is>
          <t>spillover</t>
        </is>
      </c>
      <c r="D79" s="3" t="inlineStr">
        <is>
          <t>(여자)아이들은 데뷔 후 활동 20일 만에 음악방송 1위, 음원차트 상위권, 신인상 7관왕을 차지했으며 4연속 멜론 일간/주간 차트 1위를 기록했다.</t>
        </is>
      </c>
      <c r="E79" t="inlineStr"/>
      <c r="F79" t="inlineStr">
        <is>
          <t>N</t>
        </is>
      </c>
      <c r="G79" t="inlineStr"/>
      <c r="H79" t="inlineStr"/>
      <c r="I79" t="inlineStr"/>
    </row>
    <row r="80">
      <c r="A80" t="n">
        <v>79</v>
      </c>
      <c r="B80" t="inlineStr">
        <is>
          <t>투어스(TWS)</t>
        </is>
      </c>
      <c r="C80" t="inlineStr">
        <is>
          <t>spillover</t>
        </is>
      </c>
      <c r="D80" s="3" t="inlineStr">
        <is>
          <t>IDN Times reported Jakarta ranks among the 'Top Cities with the most TWS listeners' on streaming platforms, despite the Indonesian capital being left off the group's 2026 tour route.</t>
        </is>
      </c>
      <c r="E80" t="inlineStr"/>
      <c r="F80" t="inlineStr">
        <is>
          <t>N</t>
        </is>
      </c>
      <c r="G80" t="inlineStr"/>
      <c r="H80" t="inlineStr"/>
      <c r="I80" t="inlineStr"/>
    </row>
    <row r="81">
      <c r="A81" t="n">
        <v>80</v>
      </c>
      <c r="B81" t="inlineStr">
        <is>
          <t>최예나</t>
        </is>
      </c>
      <c r="C81" t="inlineStr">
        <is>
          <t>loyalty</t>
        </is>
      </c>
      <c r="D81" s="3" t="inlineStr">
        <is>
          <t>팬클럽명은 YENA_OFFICIAL 공식 계정을 통해 정식 발표된 바 있음</t>
        </is>
      </c>
      <c r="E81" t="inlineStr"/>
      <c r="F81" t="inlineStr">
        <is>
          <t>N</t>
        </is>
      </c>
      <c r="G81" t="inlineStr"/>
      <c r="H81" t="inlineStr"/>
      <c r="I81" t="inlineStr"/>
    </row>
    <row r="82">
      <c r="A82" t="n">
        <v>81</v>
      </c>
      <c r="B82" t="inlineStr">
        <is>
          <t>NCT</t>
        </is>
      </c>
      <c r="C82" t="inlineStr">
        <is>
          <t>loyalty</t>
        </is>
      </c>
      <c r="D82" s="3" t="inlineStr">
        <is>
          <t>NCT 드림이 2016년 8월 24일 '졸업' 콘셉트로 데뷔한 뒤 2020년 7인 고정 체제로 전환하며 팬덤 구조를 재편했다.</t>
        </is>
      </c>
      <c r="E82" t="inlineStr"/>
      <c r="F82" t="inlineStr">
        <is>
          <t>N</t>
        </is>
      </c>
      <c r="G82" t="inlineStr"/>
      <c r="H82" t="inlineStr"/>
      <c r="I82" t="inlineStr"/>
    </row>
    <row r="83">
      <c r="A83" t="n">
        <v>82</v>
      </c>
      <c r="B83" t="inlineStr">
        <is>
          <t>아이유</t>
        </is>
      </c>
      <c r="C83" t="inlineStr">
        <is>
          <t>spillover</t>
        </is>
      </c>
      <c r="D83" s="3" t="inlineStr">
        <is>
          <t>튀르키예어 위키백과에 가수 아이유를 다룬 'IU (şarkıcı)' 항목이 개설되어 있으며 그녀가 작사한 곡 목록까지 별도로 정리되어 있다.</t>
        </is>
      </c>
      <c r="E83" t="inlineStr"/>
      <c r="F83" t="inlineStr">
        <is>
          <t>N</t>
        </is>
      </c>
      <c r="G83" t="inlineStr"/>
      <c r="H83" t="inlineStr"/>
      <c r="I83" t="inlineStr"/>
    </row>
    <row r="84">
      <c r="A84" t="n">
        <v>83</v>
      </c>
      <c r="B84" t="inlineStr">
        <is>
          <t>레드벨벳</t>
        </is>
      </c>
      <c r="C84" t="inlineStr">
        <is>
          <t>loyalty</t>
        </is>
      </c>
      <c r="D84" s="3" t="inlineStr">
        <is>
          <t>레드벨벳이 자카르타 팬콘서트를 위해 출국하는 모습을 담은 기사.</t>
        </is>
      </c>
      <c r="E84" t="inlineStr"/>
      <c r="F84" t="inlineStr">
        <is>
          <t>N</t>
        </is>
      </c>
      <c r="G84" t="inlineStr"/>
      <c r="H84" t="inlineStr"/>
      <c r="I84" t="inlineStr"/>
    </row>
    <row r="85">
      <c r="A85" t="n">
        <v>84</v>
      </c>
      <c r="B85" t="inlineStr">
        <is>
          <t>이문세</t>
        </is>
      </c>
      <c r="C85" t="inlineStr">
        <is>
          <t>loyalty</t>
        </is>
      </c>
      <c r="D85" s="3" t="inlineStr">
        <is>
          <t>이문세의 '씨어터 이문세 시즌4' 전국투어(22개 도시, 59회 공연)는 누적 관객 약 9만8천 명을, 이어진 아레나 투어 'The Best'는 누적 약 4만 명을 동원해 두 투어 합계 약 14만 명이 관람하며 '퍼펙트 매진 행진'을 이어갔다.</t>
        </is>
      </c>
      <c r="E85" t="inlineStr"/>
      <c r="F85" t="inlineStr">
        <is>
          <t>N</t>
        </is>
      </c>
      <c r="G85" t="inlineStr"/>
      <c r="H85" t="inlineStr"/>
      <c r="I85" t="inlineStr"/>
    </row>
    <row r="86">
      <c r="A86" t="n">
        <v>85</v>
      </c>
      <c r="B86" t="inlineStr">
        <is>
          <t>송가인</t>
        </is>
      </c>
      <c r="C86" t="inlineStr">
        <is>
          <t>spillover</t>
        </is>
      </c>
      <c r="D86" s="3" t="inlineStr">
        <is>
          <t>송가인은 2025년 9월 노래방(코인노래방) 기기 제조사 금영엔터테인먼트의 광고 모델로 발탁되었다.</t>
        </is>
      </c>
      <c r="E86" t="inlineStr"/>
      <c r="F86" t="inlineStr">
        <is>
          <t>N</t>
        </is>
      </c>
      <c r="G86" t="inlineStr"/>
      <c r="H86" t="inlineStr"/>
      <c r="I86" t="inlineStr"/>
    </row>
    <row r="87">
      <c r="A87" t="n">
        <v>86</v>
      </c>
      <c r="B87" t="inlineStr">
        <is>
          <t>빅뱅</t>
        </is>
      </c>
      <c r="C87" t="inlineStr">
        <is>
          <t>loyalty</t>
        </is>
      </c>
      <c r="D87" s="3" t="inlineStr">
        <is>
          <t>빅뱅 태양은 2020년 2월 청각장애 아동·청소년을 위해 6000만원을 기부했다.</t>
        </is>
      </c>
      <c r="E87" t="inlineStr"/>
      <c r="F87" t="inlineStr">
        <is>
          <t>N</t>
        </is>
      </c>
      <c r="G87" t="inlineStr"/>
      <c r="H87" t="inlineStr"/>
      <c r="I87" t="inlineStr"/>
    </row>
    <row r="88">
      <c r="A88" t="n">
        <v>87</v>
      </c>
      <c r="B88" t="inlineStr">
        <is>
          <t>성시경</t>
        </is>
      </c>
      <c r="C88" t="inlineStr">
        <is>
          <t>spillover</t>
        </is>
      </c>
      <c r="D88" s="3" t="inlineStr">
        <is>
          <t>성시경이 운영하는 막걸리 브랜드 '경탁주'가 2025년 3월 상시판매 첫날 기존 생산량 대비 두 배 이상 늘린 물량을 준비했음에도 오픈과 동시에 주문이 몰려 전량 소진됐다고 한국경제가 보도했다.</t>
        </is>
      </c>
      <c r="E88" t="inlineStr"/>
      <c r="F88" t="inlineStr">
        <is>
          <t>N</t>
        </is>
      </c>
      <c r="G88" t="inlineStr"/>
      <c r="H88" t="inlineStr"/>
      <c r="I88" t="inlineStr"/>
    </row>
    <row r="89">
      <c r="A89" t="n">
        <v>88</v>
      </c>
      <c r="B89" t="inlineStr">
        <is>
          <t>GOT7</t>
        </is>
      </c>
      <c r="C89" t="inlineStr">
        <is>
          <t>spillover</t>
        </is>
      </c>
      <c r="D89" s="3" t="inlineStr">
        <is>
          <t>잭슨 왕이 2025년 7월 발매한 세 번째 정규앨범 'MAGIC MAN 2'로 빌보드 200 차트 13위에 데뷔해 중국 국적 아티스트 역대 최고 빌보드 200 진입 기록을 새로 세웠다.</t>
        </is>
      </c>
      <c r="E89" t="inlineStr"/>
      <c r="F89" t="inlineStr">
        <is>
          <t>N</t>
        </is>
      </c>
      <c r="G89" t="inlineStr"/>
      <c r="H89" t="inlineStr"/>
      <c r="I89" t="inlineStr"/>
    </row>
    <row r="90">
      <c r="A90" t="n">
        <v>89</v>
      </c>
      <c r="B90" t="inlineStr">
        <is>
          <t>정동원</t>
        </is>
      </c>
      <c r="C90" t="inlineStr">
        <is>
          <t>loyalty</t>
        </is>
      </c>
      <c r="D90" s="3" t="inlineStr">
        <is>
          <t>2020년 멜론뮤직어워드에서 미스터트롯 톱6과 공동으로 팬 반응이 반영된 '핫트렌드상'을 수상했다.</t>
        </is>
      </c>
      <c r="E90" t="inlineStr"/>
      <c r="F90" t="inlineStr">
        <is>
          <t>N</t>
        </is>
      </c>
      <c r="G90" t="inlineStr"/>
      <c r="H90" t="inlineStr"/>
      <c r="I90" t="inlineStr"/>
    </row>
    <row r="91">
      <c r="A91" t="n">
        <v>90</v>
      </c>
      <c r="B91" t="inlineStr">
        <is>
          <t>동방신기</t>
        </is>
      </c>
      <c r="C91" t="inlineStr">
        <is>
          <t>loyalty</t>
        </is>
      </c>
      <c r="D91" s="3" t="inlineStr">
        <is>
          <t>태국 매체 Thairath는 2020년 1월 최강창민-유노윤호 동방신기가 데뷔 15주년을 기념해 스페셜 앨범을 발매했다고 보도해, 태국 현지 매체가 동방신기의 장기 활동 이력을 꾸준히 다뤄왔음을 보여준다</t>
        </is>
      </c>
      <c r="E91" t="inlineStr"/>
      <c r="F91" t="inlineStr">
        <is>
          <t>N</t>
        </is>
      </c>
      <c r="G91" t="inlineStr"/>
      <c r="H91" t="inlineStr"/>
      <c r="I91" t="inlineStr"/>
    </row>
    <row r="92">
      <c r="A92" t="n">
        <v>91</v>
      </c>
      <c r="B92" t="inlineStr">
        <is>
          <t>TWICE</t>
        </is>
      </c>
      <c r="C92" t="inlineStr">
        <is>
          <t>spillover</t>
        </is>
      </c>
      <c r="D92" s="3" t="inlineStr">
        <is>
          <t>BARKS reported a video release documenting TWICE's Tokyo Dome shows from their world tour</t>
        </is>
      </c>
      <c r="E92" t="inlineStr"/>
      <c r="F92" t="inlineStr">
        <is>
          <t>N</t>
        </is>
      </c>
      <c r="G92" t="inlineStr"/>
      <c r="H92" t="inlineStr"/>
      <c r="I92" t="inlineStr"/>
    </row>
    <row r="93">
      <c r="A93" t="n">
        <v>92</v>
      </c>
      <c r="B93" t="inlineStr">
        <is>
          <t>ATEEZ</t>
        </is>
      </c>
      <c r="C93" t="inlineStr">
        <is>
          <t>loyalty</t>
        </is>
      </c>
      <c r="D93" s="3" t="inlineStr">
        <is>
          <t>'2026 ATEEZ FANMEETING ATINY'S VOYAGE: TINY MYSTERY'가 7월 17~19일 사흘간 고려대학교 화정체육관에서 개최되며 마지막 회차는 온라인 생중계도 병행됐다</t>
        </is>
      </c>
      <c r="E93" t="inlineStr"/>
      <c r="F93" t="inlineStr">
        <is>
          <t>N</t>
        </is>
      </c>
      <c r="G93" t="inlineStr"/>
      <c r="H93" t="inlineStr"/>
      <c r="I93" t="inlineStr"/>
    </row>
    <row r="94">
      <c r="A94" t="n">
        <v>93</v>
      </c>
      <c r="B94" t="inlineStr">
        <is>
          <t>NCT</t>
        </is>
      </c>
      <c r="C94" t="inlineStr">
        <is>
          <t>spillover</t>
        </is>
      </c>
      <c r="D94" s="3" t="inlineStr">
        <is>
          <t>2026년 5월 대구 경북대학교 대학축제 라인업에 NCT WISH 출연</t>
        </is>
      </c>
      <c r="E94" t="inlineStr"/>
      <c r="F94" t="inlineStr">
        <is>
          <t>N</t>
        </is>
      </c>
      <c r="G94" t="inlineStr"/>
      <c r="H94" t="inlineStr"/>
      <c r="I94" t="inlineStr"/>
    </row>
    <row r="95">
      <c r="A95" t="n">
        <v>94</v>
      </c>
      <c r="B95" t="inlineStr">
        <is>
          <t>LE SSERAFIM</t>
        </is>
      </c>
      <c r="C95" t="inlineStr">
        <is>
          <t>loyalty</t>
        </is>
      </c>
      <c r="D95" s="3" t="inlineStr">
        <is>
          <t>Fanclub FEARNOT members get exclusive access to premium seats at the Tokyo Dome concert via FC-only presale tiers, reflecting structured fan-priority ticketing</t>
        </is>
      </c>
      <c r="E95" t="inlineStr"/>
      <c r="F95" t="inlineStr">
        <is>
          <t>N</t>
        </is>
      </c>
      <c r="G95" t="inlineStr"/>
      <c r="H95" t="inlineStr"/>
      <c r="I95" t="inlineStr"/>
    </row>
    <row r="96">
      <c r="A96" t="n">
        <v>95</v>
      </c>
      <c r="B96" t="inlineStr">
        <is>
          <t>싸이</t>
        </is>
      </c>
      <c r="C96" t="inlineStr">
        <is>
          <t>spillover</t>
        </is>
      </c>
      <c r="D96" s="3" t="inlineStr">
        <is>
          <t>iM뱅크는 2025년 4월 싸이와 함께한 티저 광고를 공개하며 '상상 그 이상이 쌓이네'라는 캠페인 문구로 인지도 확보에 나섰다.</t>
        </is>
      </c>
      <c r="E96" t="inlineStr"/>
      <c r="F96" t="inlineStr">
        <is>
          <t>N</t>
        </is>
      </c>
      <c r="G96" t="inlineStr"/>
      <c r="H96" t="inlineStr"/>
      <c r="I96" t="inlineStr"/>
    </row>
    <row r="97">
      <c r="A97" t="n">
        <v>96</v>
      </c>
      <c r="B97" t="inlineStr">
        <is>
          <t>잭스키스</t>
        </is>
      </c>
      <c r="C97" t="inlineStr">
        <is>
          <t>spillover</t>
        </is>
      </c>
      <c r="D97" s="3" t="inlineStr">
        <is>
          <t>젝스키스 팬덤은 재결합 이후 해외영업팀을 구성해 다국어 소셜미디어 지원 체계를 갖추고 해외 팬 소통을 확대했다.</t>
        </is>
      </c>
      <c r="E97" t="inlineStr"/>
      <c r="F97" t="inlineStr">
        <is>
          <t>N</t>
        </is>
      </c>
      <c r="G97" t="inlineStr"/>
      <c r="H97" t="inlineStr"/>
      <c r="I97" t="inlineStr"/>
    </row>
    <row r="98">
      <c r="A98" s="4" t="n">
        <v>97</v>
      </c>
      <c r="B98" s="4" t="inlineStr">
        <is>
          <t>레드벨벳</t>
        </is>
      </c>
      <c r="C98" s="4" t="inlineStr">
        <is>
          <t>spillover</t>
        </is>
      </c>
      <c r="D98" s="5" t="inlineStr">
        <is>
          <t>'겟잇뷰티 2019'(2019.4~12) 조이가 MC 진행</t>
        </is>
      </c>
      <c r="E98" s="4" t="inlineStr"/>
      <c r="F98" s="4" t="inlineStr">
        <is>
          <t>Y</t>
        </is>
      </c>
      <c r="G98" s="4" t="inlineStr">
        <is>
          <t>'겟잇뷰티 2019' MC</t>
        </is>
      </c>
      <c r="H98" s="4" t="inlineStr"/>
      <c r="I98" s="4" t="inlineStr"/>
    </row>
    <row r="99">
      <c r="A99" t="n">
        <v>98</v>
      </c>
      <c r="B99" t="inlineStr">
        <is>
          <t>STAYC</t>
        </is>
      </c>
      <c r="C99" t="inlineStr">
        <is>
          <t>spillover</t>
        </is>
      </c>
      <c r="D99" s="3" t="inlineStr">
        <is>
          <t>2023년 STAYC는 전원이 프랑크푸르트 한국문화축제(Frankfurt Korean Culture Festival)에 참여했다.</t>
        </is>
      </c>
      <c r="E99" t="inlineStr"/>
      <c r="F99" t="inlineStr">
        <is>
          <t>N</t>
        </is>
      </c>
      <c r="G99" t="inlineStr"/>
      <c r="H99" t="inlineStr"/>
      <c r="I99" t="inlineStr"/>
    </row>
    <row r="100">
      <c r="A100" t="n">
        <v>99</v>
      </c>
      <c r="B100" t="inlineStr">
        <is>
          <t>DAY6</t>
        </is>
      </c>
      <c r="C100" t="inlineStr">
        <is>
          <t>spillover</t>
        </is>
      </c>
      <c r="D100" s="3" t="inlineStr">
        <is>
          <t>2024년 코리아그랜드뮤직어워즈에서 첫 대상(Grand Performer Award, Best Band, Best Song) 수상</t>
        </is>
      </c>
      <c r="E100" t="inlineStr"/>
      <c r="F100" t="inlineStr">
        <is>
          <t>N</t>
        </is>
      </c>
      <c r="G100" t="inlineStr"/>
      <c r="H100" t="inlineStr"/>
      <c r="I100" t="inlineStr"/>
    </row>
    <row r="101">
      <c r="A101" t="n">
        <v>100</v>
      </c>
      <c r="B101" t="inlineStr">
        <is>
          <t>IKON</t>
        </is>
      </c>
      <c r="C101" t="inlineStr">
        <is>
          <t>spillover</t>
        </is>
      </c>
      <c r="D101" s="3" t="inlineStr">
        <is>
          <t>'Fourever' 2026 월드투어 12개 도시(서울 개막, 일본 2곳, 아시아 6곳, 남미 3곳) 발표</t>
        </is>
      </c>
      <c r="E101" t="inlineStr"/>
      <c r="F101" t="inlineStr">
        <is>
          <t>N</t>
        </is>
      </c>
      <c r="G101" t="inlineStr"/>
      <c r="H101" t="inlineStr"/>
      <c r="I101" t="inlineStr"/>
    </row>
    <row r="102">
      <c r="A102" t="n">
        <v>101</v>
      </c>
      <c r="B102" t="inlineStr">
        <is>
          <t>윤하</t>
        </is>
      </c>
      <c r="C102" t="inlineStr">
        <is>
          <t>spillover</t>
        </is>
      </c>
      <c r="D102" s="3" t="inlineStr">
        <is>
          <t>윤하는 2004년 9월 일본에서 싱글 '유비키리'로 먼저 데뷔했고, 두 번째 싱글 'ほうき星'가 오리콘 주간 차트 15위에 오르며 데뷔 아티스트로서 이례적인 히트를 기록했다.</t>
        </is>
      </c>
      <c r="E102" t="inlineStr"/>
      <c r="F102" t="inlineStr">
        <is>
          <t>N</t>
        </is>
      </c>
      <c r="G102" t="inlineStr"/>
      <c r="H102" t="inlineStr"/>
      <c r="I102" t="inlineStr"/>
    </row>
    <row r="103">
      <c r="A103" t="n">
        <v>102</v>
      </c>
      <c r="B103" t="inlineStr">
        <is>
          <t>레드벨벳</t>
        </is>
      </c>
      <c r="C103" t="inlineStr">
        <is>
          <t>loyalty</t>
        </is>
      </c>
      <c r="D103" s="3" t="inlineStr">
        <is>
          <t>2023년 첫 단독 마닐라 콘서트에 많은 관객이 몰렸다고 보도</t>
        </is>
      </c>
      <c r="E103" t="inlineStr"/>
      <c r="F103" t="inlineStr">
        <is>
          <t>N</t>
        </is>
      </c>
      <c r="G103" t="inlineStr"/>
      <c r="H103" t="inlineStr"/>
      <c r="I103" t="inlineStr"/>
    </row>
    <row r="104">
      <c r="A104" t="n">
        <v>103</v>
      </c>
      <c r="B104" t="inlineStr">
        <is>
          <t>아이유</t>
        </is>
      </c>
      <c r="C104" t="inlineStr">
        <is>
          <t>spillover</t>
        </is>
      </c>
      <c r="D104" s="3" t="inlineStr">
        <is>
          <t>제이에스티나가 2024년 봄·여름·연말 시즌에 걸쳐 아이유와 함께한 주얼리 화보를 잇달아 공개하며 2024년에도 모델 계약을 이어갔다.</t>
        </is>
      </c>
      <c r="E104" t="inlineStr"/>
      <c r="F104" t="inlineStr">
        <is>
          <t>N</t>
        </is>
      </c>
      <c r="G104" t="inlineStr"/>
      <c r="H104" t="inlineStr"/>
      <c r="I104" t="inlineStr"/>
    </row>
    <row r="105">
      <c r="A105" t="n">
        <v>104</v>
      </c>
      <c r="B105" t="inlineStr">
        <is>
          <t>아이오아이</t>
        </is>
      </c>
      <c r="C105" t="inlineStr">
        <is>
          <t>spillover</t>
        </is>
      </c>
      <c r="D105" s="3" t="inlineStr">
        <is>
          <t>Before their official debut announcement, the group had already secured 7 CF deals (Etude House, SK Telecom, KB Kookmin Bank, Elite uniforms, etc.) worth an estimated 1.4 billion won (March 2016)</t>
        </is>
      </c>
      <c r="E105" t="inlineStr"/>
      <c r="F105" t="inlineStr">
        <is>
          <t>N</t>
        </is>
      </c>
      <c r="G105" t="inlineStr"/>
      <c r="H105" t="inlineStr"/>
      <c r="I105" t="inlineStr"/>
    </row>
    <row r="106">
      <c r="A106" t="n">
        <v>105</v>
      </c>
      <c r="B106" t="inlineStr">
        <is>
          <t>aespa</t>
        </is>
      </c>
      <c r="C106" t="inlineStr">
        <is>
          <t>spillover</t>
        </is>
      </c>
      <c r="D106" s="3" t="inlineStr">
        <is>
          <t>aespa was named Nongshim's first global ambassador for Shin Ramyun, with the campaign specifically targeting the US, China, Japan, Europe and Southeast Asia markets</t>
        </is>
      </c>
      <c r="E106" t="inlineStr"/>
      <c r="F106" t="inlineStr">
        <is>
          <t>N</t>
        </is>
      </c>
      <c r="G106" t="inlineStr"/>
      <c r="H106" t="inlineStr"/>
      <c r="I106" t="inlineStr"/>
    </row>
    <row r="107">
      <c r="A107" t="n">
        <v>106</v>
      </c>
      <c r="B107" t="inlineStr">
        <is>
          <t>임영웅</t>
        </is>
      </c>
      <c r="C107" t="inlineStr">
        <is>
          <t>loyalty</t>
        </is>
      </c>
      <c r="D107" s="3" t="inlineStr">
        <is>
          <t>2025~2026년 전국투어 콘서트는 대구 공연에서 티켓 오픈 전부터 서버가 다운될 정도로 접속이 몰렸고, 인천을 시작으로 대구·서울·광주·대전·부산 등 매 지역에서 오픈과 동시에 초고속 전석 매진이 반복되고 있다.</t>
        </is>
      </c>
      <c r="E107" t="inlineStr"/>
      <c r="F107" t="inlineStr">
        <is>
          <t>N</t>
        </is>
      </c>
      <c r="G107" t="inlineStr"/>
      <c r="H107" t="inlineStr"/>
      <c r="I107" t="inlineStr"/>
    </row>
    <row r="108">
      <c r="A108" t="n">
        <v>107</v>
      </c>
      <c r="B108" t="inlineStr">
        <is>
          <t>동방신기</t>
        </is>
      </c>
      <c r="C108" t="inlineStr">
        <is>
          <t>loyalty</t>
        </is>
      </c>
      <c r="D108" s="3" t="inlineStr">
        <is>
          <t>2008년 팬클럽 카시오페아가 공식 회원 80만 명 이상으로 집계돼 당시 언론에서 '기네스북에 등재된 세계 최대 팬클럽'으로 보도됐다(이후 기네스 측은 공식 인증 근거가 없다고 반박).</t>
        </is>
      </c>
      <c r="E108" t="inlineStr"/>
      <c r="F108" t="inlineStr">
        <is>
          <t>N</t>
        </is>
      </c>
      <c r="G108" t="inlineStr"/>
      <c r="H108" t="inlineStr"/>
      <c r="I108" t="inlineStr"/>
    </row>
    <row r="109">
      <c r="A109" t="n">
        <v>108</v>
      </c>
      <c r="B109" t="inlineStr">
        <is>
          <t>DAY6</t>
        </is>
      </c>
      <c r="C109" t="inlineStr">
        <is>
          <t>loyalty</t>
        </is>
      </c>
      <c r="D109" s="3" t="inlineStr">
        <is>
          <t>DAY6 자카르타 콘서트 티켓 구매처 및 5월 3일 공연 일정 안내.</t>
        </is>
      </c>
      <c r="E109" t="inlineStr"/>
      <c r="F109" t="inlineStr">
        <is>
          <t>N</t>
        </is>
      </c>
      <c r="G109" t="inlineStr"/>
      <c r="H109" t="inlineStr"/>
      <c r="I109" t="inlineStr"/>
    </row>
    <row r="110">
      <c r="A110" t="n">
        <v>109</v>
      </c>
      <c r="B110" t="inlineStr">
        <is>
          <t>Zion.T</t>
        </is>
      </c>
      <c r="C110" t="inlineStr">
        <is>
          <t>spillover</t>
        </is>
      </c>
      <c r="D110" s="3" t="inlineStr">
        <is>
          <t>자이언티가 이끄는 레이블 스탠다드프렌즈는 2025년 8월 코엑스에서 열린 글로벌 아트페스티벌 '어반브레이크 2025'의 개막 오프닝 파티를 공동 호스트로 진행하며, 기리보이·원슈타인·소코도모 등 소속 아티스트들의 라이브 퍼포먼스와 소속 아티스트 음원 기반 AI 영상 공모전(총상금 2,000만원)을 주도했다.</t>
        </is>
      </c>
      <c r="E110" t="inlineStr"/>
      <c r="F110" t="inlineStr">
        <is>
          <t>N</t>
        </is>
      </c>
      <c r="G110" t="inlineStr"/>
      <c r="H110" t="inlineStr"/>
      <c r="I110" t="inlineStr"/>
    </row>
    <row r="111">
      <c r="A111" t="n">
        <v>110</v>
      </c>
      <c r="B111" t="inlineStr">
        <is>
          <t>볼빨간사춘기</t>
        </is>
      </c>
      <c r="C111" t="inlineStr">
        <is>
          <t>loyalty</t>
        </is>
      </c>
      <c r="D111" s="3" t="inlineStr">
        <is>
          <t>2016년 데뷔 후 8년 만인 2024년 10월에야 1기 공식 팬클럽 모집을 시작했으며(가입비 15,000원, 활동기간 2024.10.8~2025.11.8), 세대별 응원봉에 중앙 연동·앱 지원 기능이 추가되는 등 팬 서비스가 점진적으로 고도화되고 있다</t>
        </is>
      </c>
      <c r="E111" t="inlineStr"/>
      <c r="F111" t="inlineStr">
        <is>
          <t>N</t>
        </is>
      </c>
      <c r="G111" t="inlineStr"/>
      <c r="H111" t="inlineStr"/>
      <c r="I111" t="inlineStr"/>
    </row>
    <row r="112">
      <c r="A112" t="n">
        <v>111</v>
      </c>
      <c r="B112" t="inlineStr">
        <is>
          <t>god</t>
        </is>
      </c>
      <c r="C112" t="inlineStr">
        <is>
          <t>loyalty</t>
        </is>
      </c>
      <c r="D112" s="3" t="inlineStr">
        <is>
          <t>웨이보 이용자가 god의 슈퍼토픽 "#god[超话]#"에 게시물을 올려 "叔叔们好强"(삼촌들 정말 대단하다)라며 2023년 이후 K팝 아이돌 콘서트 매출 순위에서 god가 5위, "유일한 1세대 그룹"이라고 언급했고, 이 게시물은 신랑닷컴(新浪) 뉴스 코너에도 게재되었다.</t>
        </is>
      </c>
      <c r="E112" t="inlineStr"/>
      <c r="F112" t="inlineStr">
        <is>
          <t>N</t>
        </is>
      </c>
      <c r="G112" t="inlineStr"/>
      <c r="H112" t="inlineStr"/>
      <c r="I112" t="inlineStr"/>
    </row>
    <row r="113">
      <c r="A113" t="n">
        <v>112</v>
      </c>
      <c r="B113" t="inlineStr">
        <is>
          <t>장윤정</t>
        </is>
      </c>
      <c r="C113" t="inlineStr">
        <is>
          <t>loyalty</t>
        </is>
      </c>
      <c r="D113" s="3" t="inlineStr">
        <is>
          <t>장윤정은 2023년 2월 16일 생일을 맞아 밀알복지재단에 1억원을 기부했다.</t>
        </is>
      </c>
      <c r="E113" t="inlineStr"/>
      <c r="F113" t="inlineStr">
        <is>
          <t>N</t>
        </is>
      </c>
      <c r="G113" t="inlineStr"/>
      <c r="H113" t="inlineStr"/>
      <c r="I113" t="inlineStr"/>
    </row>
    <row r="114">
      <c r="A114" t="n">
        <v>113</v>
      </c>
      <c r="B114" t="inlineStr">
        <is>
          <t>god</t>
        </is>
      </c>
      <c r="C114" t="inlineStr">
        <is>
          <t>loyalty</t>
        </is>
      </c>
      <c r="D114" s="3" t="inlineStr">
        <is>
          <t>멤버 윤계상은 데뷔 25년이 지나도 티켓이 매번 매진되는 현상에 대해 "우리도 이유를 모르겠다"며 팬들의 변함없는 지지를 "축복"이라 표현함</t>
        </is>
      </c>
      <c r="E114" t="inlineStr"/>
      <c r="F114" t="inlineStr">
        <is>
          <t>N</t>
        </is>
      </c>
      <c r="G114" t="inlineStr"/>
      <c r="H114" t="inlineStr"/>
      <c r="I114" t="inlineStr"/>
    </row>
    <row r="115">
      <c r="A115" t="n">
        <v>114</v>
      </c>
      <c r="B115" t="inlineStr">
        <is>
          <t>백지영</t>
        </is>
      </c>
      <c r="C115" t="inlineStr">
        <is>
          <t>spillover</t>
        </is>
      </c>
      <c r="D115" s="3" t="inlineStr">
        <is>
          <t>애틀랜타 단독 콘서트 개최(2025.8)</t>
        </is>
      </c>
      <c r="E115" t="inlineStr"/>
      <c r="F115" t="inlineStr">
        <is>
          <t>N</t>
        </is>
      </c>
      <c r="G115" t="inlineStr"/>
      <c r="H115" t="inlineStr"/>
      <c r="I115" t="inlineStr"/>
    </row>
    <row r="116">
      <c r="A116" t="n">
        <v>115</v>
      </c>
      <c r="B116" t="inlineStr">
        <is>
          <t>빅마마</t>
        </is>
      </c>
      <c r="C116" t="inlineStr">
        <is>
          <t>spillover</t>
        </is>
      </c>
      <c r="D116" s="3" t="inlineStr">
        <is>
          <t>빅마마는 현대자동차 'i30' 1세대(2007~2011년경 판매) 광고음악(CM송)을 부른 이력이 있다.</t>
        </is>
      </c>
      <c r="E116" t="inlineStr"/>
      <c r="F116" t="inlineStr">
        <is>
          <t>N</t>
        </is>
      </c>
      <c r="G116" t="inlineStr"/>
      <c r="H116" t="inlineStr"/>
      <c r="I116" t="inlineStr"/>
    </row>
    <row r="117">
      <c r="A117" t="n">
        <v>116</v>
      </c>
      <c r="B117" t="inlineStr">
        <is>
          <t>이찬원</t>
        </is>
      </c>
      <c r="C117" t="inlineStr">
        <is>
          <t>loyalty</t>
        </is>
      </c>
      <c r="D117" s="3" t="inlineStr">
        <is>
          <t>이찬원 팬클럽 '찬스'는 데뷔 5주년을 기념해 약 1200만원을 기부했다.</t>
        </is>
      </c>
      <c r="E117" t="inlineStr"/>
      <c r="F117" t="inlineStr">
        <is>
          <t>N</t>
        </is>
      </c>
      <c r="G117" t="inlineStr"/>
      <c r="H117" t="inlineStr"/>
      <c r="I117" t="inlineStr"/>
    </row>
    <row r="118">
      <c r="A118" t="n">
        <v>117</v>
      </c>
      <c r="B118" t="inlineStr">
        <is>
          <t>IVE</t>
        </is>
      </c>
      <c r="C118" t="inlineStr">
        <is>
          <t>spillover</t>
        </is>
      </c>
      <c r="D118" s="3" t="inlineStr">
        <is>
          <t>IVE가 2022년 5월 19일 대구 소재 계명대학교 축제(싸이, (여자)아이들과 함께 출연)와 영남대학교 축제 무대에 올라 데뷔 후 첫 대학 축제 출연으로 화제를 모았다.</t>
        </is>
      </c>
      <c r="E118" t="inlineStr"/>
      <c r="F118" t="inlineStr">
        <is>
          <t>N</t>
        </is>
      </c>
      <c r="G118" t="inlineStr"/>
      <c r="H118" t="inlineStr"/>
      <c r="I118" t="inlineStr"/>
    </row>
    <row r="119">
      <c r="A119" t="n">
        <v>118</v>
      </c>
      <c r="B119" t="inlineStr">
        <is>
          <t>지드래곤 (G-Dragon)</t>
        </is>
      </c>
      <c r="C119" t="inlineStr">
        <is>
          <t>loyalty</t>
        </is>
      </c>
      <c r="D119" s="3" t="inlineStr">
        <is>
          <t>지드래곤 팬사이트 'Always-GD'는 2015년 11월 초록우산어린이재단에 818만 원을 기부했다.</t>
        </is>
      </c>
      <c r="E119" t="inlineStr"/>
      <c r="F119" t="inlineStr">
        <is>
          <t>N</t>
        </is>
      </c>
      <c r="G119" t="inlineStr"/>
      <c r="H119" t="inlineStr"/>
      <c r="I119" t="inlineStr"/>
    </row>
    <row r="120">
      <c r="A120" t="n">
        <v>119</v>
      </c>
      <c r="B120" t="inlineStr">
        <is>
          <t>잭스키스</t>
        </is>
      </c>
      <c r="C120" t="inlineStr">
        <is>
          <t>spillover</t>
        </is>
      </c>
      <c r="D120" s="3" t="inlineStr">
        <is>
          <t>OSEN은 젝스키스의 팬클럽 창단을 "1세대 부활이 시작된다"고 평하며, 이 팬덤 재조직이 1세대 아이돌 문화 전반의 부활을 상징하는 사건으로 다뤄졌다고 보도했다</t>
        </is>
      </c>
      <c r="E120" t="inlineStr"/>
      <c r="F120" t="inlineStr">
        <is>
          <t>N</t>
        </is>
      </c>
      <c r="G120" t="inlineStr"/>
      <c r="H120" t="inlineStr"/>
      <c r="I120" t="inlineStr"/>
    </row>
    <row r="121">
      <c r="A121" t="n">
        <v>120</v>
      </c>
      <c r="B121" t="inlineStr">
        <is>
          <t>(여자)아이들</t>
        </is>
      </c>
      <c r="C121" t="inlineStr">
        <is>
          <t>spillover</t>
        </is>
      </c>
      <c r="D121" s="3" t="inlineStr">
        <is>
          <t>(여자)아이들이 2024년 멜론뮤직어워드(MMA) 앨범 부문 대상을 수상했다</t>
        </is>
      </c>
      <c r="E121" t="inlineStr"/>
      <c r="F121" t="inlineStr">
        <is>
          <t>N</t>
        </is>
      </c>
      <c r="G121" t="inlineStr"/>
      <c r="H121" t="inlineStr"/>
      <c r="I121" t="inlineStr"/>
    </row>
    <row r="122">
      <c r="A122" t="n">
        <v>121</v>
      </c>
      <c r="B122" t="inlineStr">
        <is>
          <t>GOT7</t>
        </is>
      </c>
      <c r="C122" t="inlineStr">
        <is>
          <t>loyalty</t>
        </is>
      </c>
      <c r="D122" s="3" t="inlineStr">
        <is>
          <t>갓세븐은 JYP와의 전속계약이 끝난 뒤에도 그룹명과 상표권을 멤버들이 직접 보유했으며, 2025년 1월 카카오엔터테인먼트와 손잡고 미니앨범 'Winter Heptagon'으로 컴백했다.</t>
        </is>
      </c>
      <c r="E122" t="inlineStr"/>
      <c r="F122" t="inlineStr">
        <is>
          <t>N</t>
        </is>
      </c>
      <c r="G122" t="inlineStr"/>
      <c r="H122" t="inlineStr"/>
      <c r="I122" t="inlineStr"/>
    </row>
    <row r="123">
      <c r="A123" t="n">
        <v>122</v>
      </c>
      <c r="B123" t="inlineStr">
        <is>
          <t>RIIZE</t>
        </is>
      </c>
      <c r="C123" t="inlineStr">
        <is>
          <t>spillover</t>
        </is>
      </c>
      <c r="D123" s="3" t="inlineStr">
        <is>
          <t>나탈리(natalie.mu)가 라이즈의 첫 도쿄돔 공연이 비하인드 영상과 함께 영상화되어 발매된다고 보도했다</t>
        </is>
      </c>
      <c r="E123" t="inlineStr"/>
      <c r="F123" t="inlineStr">
        <is>
          <t>N</t>
        </is>
      </c>
      <c r="G123" t="inlineStr"/>
      <c r="H123" t="inlineStr"/>
      <c r="I123" t="inlineStr"/>
    </row>
    <row r="124">
      <c r="A124" t="n">
        <v>123</v>
      </c>
      <c r="B124" t="inlineStr">
        <is>
          <t>BABYMONSTER</t>
        </is>
      </c>
      <c r="C124" t="inlineStr">
        <is>
          <t>loyalty</t>
        </is>
      </c>
      <c r="D124" s="3" t="inlineStr">
        <is>
          <t>"BABYMONSTER演唱會2027香港｜門票優先/公售攻略+購票連結+座位表" (홍콩 콘서트 티켓 예매/매진 관련)</t>
        </is>
      </c>
      <c r="E124" t="inlineStr"/>
      <c r="F124" t="inlineStr">
        <is>
          <t>N</t>
        </is>
      </c>
      <c r="G124" t="inlineStr"/>
      <c r="H124" t="inlineStr"/>
      <c r="I124" t="inlineStr"/>
    </row>
    <row r="125">
      <c r="A125" t="n">
        <v>124</v>
      </c>
      <c r="B125" t="inlineStr">
        <is>
          <t>엔믹스</t>
        </is>
      </c>
      <c r="C125" t="inlineStr">
        <is>
          <t>spillover</t>
        </is>
      </c>
      <c r="D125" s="3" t="inlineStr">
        <is>
          <t>글로벌 메이크업 브랜드 메이크업포에버가 엔믹스를 브랜드의 K-팝 아이돌 글로벌 앰버서더로 발탁했다(2026년 9월).</t>
        </is>
      </c>
      <c r="E125" t="inlineStr"/>
      <c r="F125" t="inlineStr">
        <is>
          <t>N</t>
        </is>
      </c>
      <c r="G125" t="inlineStr"/>
      <c r="H125" t="inlineStr"/>
      <c r="I125" t="inlineStr"/>
    </row>
    <row r="126">
      <c r="A126" s="4" t="n">
        <v>125</v>
      </c>
      <c r="B126" s="4" t="inlineStr">
        <is>
          <t>박정현</t>
        </is>
      </c>
      <c r="C126" s="4" t="inlineStr">
        <is>
          <t>spillover</t>
        </is>
      </c>
      <c r="D126" s="5" t="inlineStr">
        <is>
          <t>박정현(Lena Park)은 유니버설 시그마(Universal Sigma) 레이블 소속으로 2004~2005년 일본 Inter-FM 라디오와 음악 페스티벌에 출연했고, 한일 우정의 해 기념 콘서트 무대에 올랐으며 일본 그룹 CHEMISTRY 등과 협업했다.</t>
        </is>
      </c>
      <c r="E126" s="4" t="inlineStr">
        <is>
          <t>라디오</t>
        </is>
      </c>
      <c r="F126" s="4" t="inlineStr">
        <is>
          <t>Y</t>
        </is>
      </c>
      <c r="G126" s="4" t="inlineStr">
        <is>
          <t>Inter-FM 라디오 출연</t>
        </is>
      </c>
      <c r="H126" s="4" t="inlineStr"/>
      <c r="I126" s="4" t="inlineStr"/>
    </row>
    <row r="127">
      <c r="A127" t="n">
        <v>126</v>
      </c>
      <c r="B127" t="inlineStr">
        <is>
          <t>aespa</t>
        </is>
      </c>
      <c r="C127" t="inlineStr">
        <is>
          <t>loyalty</t>
        </is>
      </c>
      <c r="D127" s="3" t="inlineStr">
        <is>
          <t>"Girls" (2022) became the first girl-group album to sell over 1 million copies in a single week (1,645,255 copies on monthly chart), and "My World" (2023) sold 2,011,388 copies as a "double million-seller," showing strong repeat purchase behavior</t>
        </is>
      </c>
      <c r="E127" t="inlineStr"/>
      <c r="F127" t="inlineStr">
        <is>
          <t>N</t>
        </is>
      </c>
      <c r="G127" t="inlineStr"/>
      <c r="H127" t="inlineStr"/>
      <c r="I127" t="inlineStr"/>
    </row>
    <row r="128">
      <c r="A128" s="4" t="n">
        <v>127</v>
      </c>
      <c r="B128" s="4" t="inlineStr">
        <is>
          <t>나훈아</t>
        </is>
      </c>
      <c r="C128" s="4" t="inlineStr">
        <is>
          <t>spillover</t>
        </is>
      </c>
      <c r="D128" s="5" t="inlineStr">
        <is>
          <t>나훈아의 2020년 9월 30일 KBS2 '2020 한가위 대기획 대한민국 어게인 나훈아'는 15년 만의 방송 출연으로, 실시간 시청률 41.44%, 올레TV 점유율 70% 이상을 기록했다.</t>
        </is>
      </c>
      <c r="E128" s="4" t="inlineStr">
        <is>
          <t>방송 출연</t>
        </is>
      </c>
      <c r="F128" s="4" t="inlineStr">
        <is>
          <t>Y</t>
        </is>
      </c>
      <c r="G128" s="4" t="inlineStr">
        <is>
          <t>KBS2 특집 방송 출연·시청률</t>
        </is>
      </c>
      <c r="H128" s="4" t="inlineStr"/>
      <c r="I128" s="4" t="inlineStr"/>
    </row>
    <row r="129">
      <c r="A129" t="n">
        <v>128</v>
      </c>
      <c r="B129" t="inlineStr">
        <is>
          <t>NewJeans</t>
        </is>
      </c>
      <c r="C129" t="inlineStr">
        <is>
          <t>spillover</t>
        </is>
      </c>
      <c r="D129" s="3" t="inlineStr">
        <is>
          <t>뉴진스 해린이 2025년 11월 어도어 복귀 후 첫 개인 활동으로 '마리끌레르 코리아' 9월호 표지를 크리스챤 디올 뷰티와 함께 촬영해 2026년 8월 14일 공개했다. 파리의 오래된 정원을 배경으로 촬영됐으며, 잡지는 '사랑스러움과 자신감, 우아함과 자유로움이 공존하는 얼굴'이라고 소개했다.</t>
        </is>
      </c>
      <c r="E129" t="inlineStr"/>
      <c r="F129" t="inlineStr">
        <is>
          <t>N</t>
        </is>
      </c>
      <c r="G129" t="inlineStr"/>
      <c r="H129" t="inlineStr"/>
      <c r="I129" t="inlineStr"/>
    </row>
    <row r="130">
      <c r="A130" t="n">
        <v>129</v>
      </c>
      <c r="B130" t="inlineStr">
        <is>
          <t>빅마마</t>
        </is>
      </c>
      <c r="C130" t="inlineStr">
        <is>
          <t>spillover</t>
        </is>
      </c>
      <c r="D130" s="3" t="inlineStr">
        <is>
          <t>멤버 전원이 실용음악과 교수로 활동해 '교수돌'이라는 별칭으로 화제를 모았다</t>
        </is>
      </c>
      <c r="E130" t="inlineStr"/>
      <c r="F130" t="inlineStr">
        <is>
          <t>N</t>
        </is>
      </c>
      <c r="G130" t="inlineStr"/>
      <c r="H130" t="inlineStr"/>
      <c r="I130" t="inlineStr"/>
    </row>
    <row r="131">
      <c r="A131" t="n">
        <v>130</v>
      </c>
      <c r="B131" t="inlineStr">
        <is>
          <t>BTS</t>
        </is>
      </c>
      <c r="C131" t="inlineStr">
        <is>
          <t>spillover</t>
        </is>
      </c>
      <c r="D131" s="3" t="inlineStr">
        <is>
          <t>BTS sold out 41 North America and Europe shows for their Arirang World Tour</t>
        </is>
      </c>
      <c r="E131" t="inlineStr"/>
      <c r="F131" t="inlineStr">
        <is>
          <t>N</t>
        </is>
      </c>
      <c r="G131" t="inlineStr"/>
      <c r="H131" t="inlineStr"/>
      <c r="I131" t="inlineStr"/>
    </row>
    <row r="132">
      <c r="A132" t="n">
        <v>131</v>
      </c>
      <c r="B132" t="inlineStr">
        <is>
          <t>볼빨간사춘기</t>
        </is>
      </c>
      <c r="C132" t="inlineStr">
        <is>
          <t>loyalty</t>
        </is>
      </c>
      <c r="D132" s="3" t="inlineStr">
        <is>
          <t>공식 팬덤명은 '러볼리', 응원봉 명칭은 '나만봉'이다</t>
        </is>
      </c>
      <c r="E132" t="inlineStr"/>
      <c r="F132" t="inlineStr">
        <is>
          <t>N</t>
        </is>
      </c>
      <c r="G132" t="inlineStr"/>
      <c r="H132" t="inlineStr"/>
      <c r="I132" t="inlineStr"/>
    </row>
    <row r="133">
      <c r="A133" s="4" t="n">
        <v>132</v>
      </c>
      <c r="B133" s="4" t="inlineStr">
        <is>
          <t>프로미스나인</t>
        </is>
      </c>
      <c r="C133" s="4" t="inlineStr">
        <is>
          <t>loyalty</t>
        </is>
      </c>
      <c r="D133" s="5" t="inlineStr">
        <is>
          <t>서바이벌 프로그램 '아이돌학교'로 데뷔한 이후 2021년 9월 첫 음악방송 1위를 달성하며 오랜 무명기를 딛고 팬덤과 함께 성장했다.</t>
        </is>
      </c>
      <c r="E133" s="4" t="inlineStr"/>
      <c r="F133" s="4" t="inlineStr">
        <is>
          <t>Y</t>
        </is>
      </c>
      <c r="G133" s="4" t="inlineStr">
        <is>
          <t>서바이벌 프로그램 '아이돌학교'</t>
        </is>
      </c>
      <c r="H133" s="4" t="inlineStr"/>
      <c r="I133" s="4" t="inlineStr"/>
    </row>
    <row r="134">
      <c r="A134" t="n">
        <v>133</v>
      </c>
      <c r="B134" t="inlineStr">
        <is>
          <t>거미</t>
        </is>
      </c>
      <c r="C134" t="inlineStr">
        <is>
          <t>spillover</t>
        </is>
      </c>
      <c r="D134" s="3" t="inlineStr">
        <is>
          <t>거미(Gummy)는 2016년 4월 29일 일본 도쿄 시부야의 Mt.RAINIER HALL에서 1부·2부 두 차례 단독 콘서트를 열었으며, 티켓은 세금 포함 7,800엔에 전석 지정으로 판매됐다.</t>
        </is>
      </c>
      <c r="E134" t="inlineStr"/>
      <c r="F134" t="inlineStr">
        <is>
          <t>N</t>
        </is>
      </c>
      <c r="G134" t="inlineStr"/>
      <c r="H134" t="inlineStr"/>
      <c r="I134" t="inlineStr"/>
    </row>
    <row r="135">
      <c r="A135" t="n">
        <v>134</v>
      </c>
      <c r="B135" t="inlineStr">
        <is>
          <t>FTISLAND</t>
        </is>
      </c>
      <c r="C135" t="inlineStr">
        <is>
          <t>loyalty</t>
        </is>
      </c>
      <c r="D135" s="3" t="inlineStr">
        <is>
          <t>대만 매체 ETtoday는 FTISLAND의 가오슝 공연에서 이홍기가 노래 도중 눈물을 흘리며 팀을 지키겠다고 약속했고, 현장 팬들도 함께 눈물을 보였다고 보도했다.</t>
        </is>
      </c>
      <c r="E135" t="inlineStr"/>
      <c r="F135" t="inlineStr">
        <is>
          <t>N</t>
        </is>
      </c>
      <c r="G135" t="inlineStr"/>
      <c r="H135" t="inlineStr"/>
      <c r="I135" t="inlineStr"/>
    </row>
    <row r="136">
      <c r="A136" t="n">
        <v>135</v>
      </c>
      <c r="B136" t="inlineStr">
        <is>
          <t>아이유</t>
        </is>
      </c>
      <c r="C136" t="inlineStr">
        <is>
          <t>spillover</t>
        </is>
      </c>
      <c r="D136" s="3" t="inlineStr">
        <is>
          <t>우리금융그룹이 아이유와의 광고모델 계약을 2년 더 연장했으며, 2024년 3월 코리아리서치 조사에서 아이유가 금융그룹 모델 적합도·선호도 1위를 기록했다고 밝혔다(2024년 4월).</t>
        </is>
      </c>
      <c r="E136" t="inlineStr"/>
      <c r="F136" t="inlineStr">
        <is>
          <t>N</t>
        </is>
      </c>
      <c r="G136" t="inlineStr"/>
      <c r="H136" t="inlineStr"/>
      <c r="I136" t="inlineStr"/>
    </row>
    <row r="137">
      <c r="A137" t="n">
        <v>136</v>
      </c>
      <c r="B137" t="inlineStr">
        <is>
          <t>이찬원</t>
        </is>
      </c>
      <c r="C137" t="inlineStr">
        <is>
          <t>spillover</t>
        </is>
      </c>
      <c r="D137" s="3" t="inlineStr">
        <is>
          <t>동아제약이 65년 전통 감기약 브랜드 '판피린'의 출시 이후 첫 번째 남성 전속모델로 이찬원을 발탁해 2026년 1월 27일 '엔딩' 편 광고 캠페인을 공개했다.</t>
        </is>
      </c>
      <c r="E137" t="inlineStr"/>
      <c r="F137" t="inlineStr">
        <is>
          <t>N</t>
        </is>
      </c>
      <c r="G137" t="inlineStr"/>
      <c r="H137" t="inlineStr"/>
      <c r="I137" t="inlineStr"/>
    </row>
    <row r="138">
      <c r="A138" t="n">
        <v>137</v>
      </c>
      <c r="B138" t="inlineStr">
        <is>
          <t>다이나믹듀오</t>
        </is>
      </c>
      <c r="C138" t="inlineStr">
        <is>
          <t>spillover</t>
        </is>
      </c>
      <c r="D138" s="3" t="inlineStr">
        <is>
          <t>다이나믹듀오는 2013년 7월 11~13일 "BAAAM"으로 엠카운트다운·뮤직뱅크·음악중심 등 주요 음악방송에서 데뷔 14년 만에 첫 음악방송 1위 및 3사 스윕을 달성했다</t>
        </is>
      </c>
      <c r="E138" t="inlineStr"/>
      <c r="F138" t="inlineStr">
        <is>
          <t>N</t>
        </is>
      </c>
      <c r="G138" t="inlineStr"/>
      <c r="H138" t="inlineStr"/>
      <c r="I138" t="inlineStr"/>
    </row>
    <row r="139">
      <c r="A139" t="n">
        <v>138</v>
      </c>
      <c r="B139" t="inlineStr">
        <is>
          <t>김재중</t>
        </is>
      </c>
      <c r="C139" t="inlineStr">
        <is>
          <t>loyalty</t>
        </is>
      </c>
      <c r="D139" s="3" t="inlineStr">
        <is>
          <t>김재중이 2026년 8월 29일부터 30일까지 서울 KBS 아레나에서 단독 콘서트 'THE WAVE'를 개최했으며, 8월 31일 텐아시아 보도에 따르면 팬들의 성원 덕분에 성공적으로 컴백 활동을 마쳤다고 밝혔다.</t>
        </is>
      </c>
      <c r="E139" t="inlineStr"/>
      <c r="F139" t="inlineStr">
        <is>
          <t>N</t>
        </is>
      </c>
      <c r="G139" t="inlineStr"/>
      <c r="H139" t="inlineStr"/>
      <c r="I139" t="inlineStr"/>
    </row>
    <row r="140">
      <c r="A140" t="n">
        <v>139</v>
      </c>
      <c r="B140" t="inlineStr">
        <is>
          <t>BABYMONSTER</t>
        </is>
      </c>
      <c r="C140" t="inlineStr">
        <is>
          <t>spillover</t>
        </is>
      </c>
      <c r="D140" s="3" t="inlineStr">
        <is>
          <t>베이비몬스터의 첫 정규앨범 'Drip'은 데뷔 8개월 만에 미국 빌보드 200 차트에 149위로 진입했으며, 발매 당일 14개 국가/지역 아이튠즈 앨범 차트 1위, 아이튠즈 월드와이드 앨범 차트 2위를 기록했다</t>
        </is>
      </c>
      <c r="E140" t="inlineStr"/>
      <c r="F140" t="inlineStr">
        <is>
          <t>N</t>
        </is>
      </c>
      <c r="G140" t="inlineStr"/>
      <c r="H140" t="inlineStr"/>
      <c r="I140" t="inlineStr"/>
    </row>
    <row r="141">
      <c r="A141" t="n">
        <v>140</v>
      </c>
      <c r="B141" t="inlineStr">
        <is>
          <t>김동률</t>
        </is>
      </c>
      <c r="C141" t="inlineStr">
        <is>
          <t>loyalty</t>
        </is>
      </c>
      <c r="D141" s="3" t="inlineStr">
        <is>
          <t>2018년 미니앨범 '답장'은 발매와 동시에 7개 주요 음악 플랫폼에서 모두 1위를 차지하는 '올킬'을 달성했다.</t>
        </is>
      </c>
      <c r="E141" t="inlineStr"/>
      <c r="F141" t="inlineStr">
        <is>
          <t>N</t>
        </is>
      </c>
      <c r="G141" t="inlineStr"/>
      <c r="H141" t="inlineStr"/>
      <c r="I141" t="inlineStr"/>
    </row>
    <row r="142">
      <c r="A142" t="n">
        <v>141</v>
      </c>
      <c r="B142" t="inlineStr">
        <is>
          <t>아이오아이</t>
        </is>
      </c>
      <c r="C142" t="inlineStr">
        <is>
          <t>loyalty</t>
        </is>
      </c>
      <c r="D142" s="3" t="inlineStr">
        <is>
          <t>김세정이 2026년 서울·타이베이·마닐라 등을 도는 개인 글로벌 팬콘서트 투어 '2026 KIM SEJEONG FAN CONCERT &lt;Tenth Letter&gt;'를 진행하며 해체된 아이오아이와 별개로 개인 팬덤과의 접점을 이어가고 있다.</t>
        </is>
      </c>
      <c r="E142" t="inlineStr"/>
      <c r="F142" t="inlineStr">
        <is>
          <t>N</t>
        </is>
      </c>
      <c r="G142" t="inlineStr"/>
      <c r="H142" t="inlineStr"/>
      <c r="I142" t="inlineStr"/>
    </row>
    <row r="143">
      <c r="A143" t="n">
        <v>142</v>
      </c>
      <c r="B143" t="inlineStr">
        <is>
          <t>TWICE</t>
        </is>
      </c>
      <c r="C143" t="inlineStr">
        <is>
          <t>loyalty</t>
        </is>
      </c>
      <c r="D143" s="3" t="inlineStr">
        <is>
          <t>2022년 북미 아레나 투어 7개 공연에서 10만 명 이상을 동원했다</t>
        </is>
      </c>
      <c r="E143" t="inlineStr"/>
      <c r="F143" t="inlineStr">
        <is>
          <t>N</t>
        </is>
      </c>
      <c r="G143" t="inlineStr"/>
      <c r="H143" t="inlineStr"/>
      <c r="I143" t="inlineStr"/>
    </row>
    <row r="144">
      <c r="A144" t="n">
        <v>143</v>
      </c>
      <c r="B144" t="inlineStr">
        <is>
          <t>조용필</t>
        </is>
      </c>
      <c r="C144" t="inlineStr">
        <is>
          <t>spillover</t>
        </is>
      </c>
      <c r="D144" s="3" t="inlineStr">
        <is>
          <t>조용필 &amp; 위대한탄생의 '2025-26년 전국투어 콘서트'가 서울·대구 등 전국 순회로 편성되어 인터파크를 통해 공식 판매 중임이 확인됨 — 베테랑 가수의 대형 전국 투어가 여전히 상업적으로 성립하고 있음을 보여주는 정황</t>
        </is>
      </c>
      <c r="E144" t="inlineStr"/>
      <c r="F144" t="inlineStr">
        <is>
          <t>N</t>
        </is>
      </c>
      <c r="G144" t="inlineStr"/>
      <c r="H144" t="inlineStr"/>
      <c r="I144" t="inlineStr"/>
    </row>
    <row r="145">
      <c r="A145" t="n">
        <v>144</v>
      </c>
      <c r="B145" t="inlineStr">
        <is>
          <t>임영웅</t>
        </is>
      </c>
      <c r="C145" t="inlineStr">
        <is>
          <t>spillover</t>
        </is>
      </c>
      <c r="D145" s="3" t="inlineStr">
        <is>
          <t>Ranked top 2 in advertising-model brand reputation rankings in May 2026</t>
        </is>
      </c>
      <c r="E145" t="inlineStr"/>
      <c r="F145" t="inlineStr">
        <is>
          <t>N</t>
        </is>
      </c>
      <c r="G145" t="inlineStr"/>
      <c r="H145" t="inlineStr"/>
      <c r="I145" t="inlineStr"/>
    </row>
    <row r="146">
      <c r="A146" s="4" t="n">
        <v>145</v>
      </c>
      <c r="B146" s="4" t="inlineStr">
        <is>
          <t>박정현</t>
        </is>
      </c>
      <c r="C146" s="4" t="inlineStr">
        <is>
          <t>spillover</t>
        </is>
      </c>
      <c r="D146" s="5" t="inlineStr">
        <is>
          <t>'나는가수다' 활동 중 주목도(화제성) 부문에서 1위를 기록</t>
        </is>
      </c>
      <c r="E146" s="4" t="inlineStr"/>
      <c r="F146" s="4" t="inlineStr">
        <is>
          <t>Y</t>
        </is>
      </c>
      <c r="G146" s="4" t="inlineStr">
        <is>
          <t>'나는가수다' 활동</t>
        </is>
      </c>
      <c r="H146" s="4" t="inlineStr"/>
      <c r="I146" s="4" t="inlineStr"/>
    </row>
    <row r="147">
      <c r="A147" t="n">
        <v>146</v>
      </c>
      <c r="B147" t="inlineStr">
        <is>
          <t>10CM</t>
        </is>
      </c>
      <c r="C147" t="inlineStr">
        <is>
          <t>spillover</t>
        </is>
      </c>
      <c r="D147" s="3" t="inlineStr">
        <is>
          <t>2026년 아시아 투어 'To 10CM: Chapter 1'을 통해 서울 공연을 열고 해외 팬을 겨냥한 공연 시장 확장에 나섰다.</t>
        </is>
      </c>
      <c r="E147" t="inlineStr"/>
      <c r="F147" t="inlineStr">
        <is>
          <t>N</t>
        </is>
      </c>
      <c r="G147" t="inlineStr"/>
      <c r="H147" t="inlineStr"/>
      <c r="I147" t="inlineStr"/>
    </row>
    <row r="148">
      <c r="A148" t="n">
        <v>147</v>
      </c>
      <c r="B148" t="inlineStr">
        <is>
          <t>싸이</t>
        </is>
      </c>
      <c r="C148" t="inlineStr">
        <is>
          <t>loyalty</t>
        </is>
      </c>
      <c r="D148" s="3" t="inlineStr">
        <is>
          <t>싸이 흠뻑쇼 2026 투어가 6월 27일 의정부를 시작으로 대구·인천·서울대공원·원주·수원·광주·부산·대전 등 9개 도시에서 총 14회 공연으로 확대 개최되며 매년 여름 전국 단위로 팬을 끌어모으는 정례 흥행 행사로 자리잡음</t>
        </is>
      </c>
      <c r="E148" t="inlineStr"/>
      <c r="F148" t="inlineStr">
        <is>
          <t>N</t>
        </is>
      </c>
      <c r="G148" t="inlineStr"/>
      <c r="H148" t="inlineStr"/>
      <c r="I148" t="inlineStr"/>
    </row>
    <row r="149">
      <c r="A149" t="n">
        <v>148</v>
      </c>
      <c r="B149" t="inlineStr">
        <is>
          <t>백지영</t>
        </is>
      </c>
      <c r="C149" t="inlineStr">
        <is>
          <t>spillover</t>
        </is>
      </c>
      <c r="D149" s="3" t="inlineStr">
        <is>
          <t>호치민(베트남) 단독 콘서트 성황리 개최, 교민·현지 팬 환호</t>
        </is>
      </c>
      <c r="E149" t="inlineStr"/>
      <c r="F149" t="inlineStr">
        <is>
          <t>N</t>
        </is>
      </c>
      <c r="G149" t="inlineStr"/>
      <c r="H149" t="inlineStr"/>
      <c r="I149" t="inlineStr"/>
    </row>
    <row r="150">
      <c r="A150" s="4" t="n">
        <v>149</v>
      </c>
      <c r="B150" s="4" t="inlineStr">
        <is>
          <t>소녀시대</t>
        </is>
      </c>
      <c r="C150" s="4" t="inlineStr">
        <is>
          <t>spillover</t>
        </is>
      </c>
      <c r="D150" s="5" t="inlineStr">
        <is>
          <t>少女時代が5年ぶりに全員集結、デビュー15周年記念バラエティ番組で</t>
        </is>
      </c>
      <c r="E150" s="4" t="inlineStr"/>
      <c r="F150" s="4" t="inlineStr">
        <is>
          <t>Y</t>
        </is>
      </c>
      <c r="G150" s="4" t="inlineStr">
        <is>
          <t>バラエティ番組(일본어 예능)</t>
        </is>
      </c>
      <c r="H150" s="4" t="inlineStr"/>
      <c r="I150" s="4" t="inlineStr"/>
    </row>
    <row r="151">
      <c r="A151" t="n">
        <v>150</v>
      </c>
      <c r="B151" t="inlineStr">
        <is>
          <t>BLACKPINK</t>
        </is>
      </c>
      <c r="C151" t="inlineStr">
        <is>
          <t>spillover</t>
        </is>
      </c>
      <c r="D151" s="3" t="inlineStr">
        <is>
          <t>디올이 블랙핑크 지수를 하우스 앰버서더로 발탁했다.</t>
        </is>
      </c>
      <c r="E151" t="inlineStr"/>
      <c r="F151" t="inlineStr">
        <is>
          <t>N</t>
        </is>
      </c>
      <c r="G151" t="inlineStr"/>
      <c r="H151" t="inlineStr"/>
      <c r="I151" t="inlineStr"/>
    </row>
    <row r="152">
      <c r="A152" t="n">
        <v>151</v>
      </c>
      <c r="B152" t="inlineStr">
        <is>
          <t>NewJeans</t>
        </is>
      </c>
      <c r="C152" t="inlineStr">
        <is>
          <t>loyalty</t>
        </is>
      </c>
      <c r="D152" s="3" t="inlineStr">
        <is>
          <t>Fan group "Team Bunnies" was referred to prosecutors by Seoul's Jongam Police (July 10, 2025) for allegedly raising ~50 million KRW (~$38,000) via crowdfunding to fund legal offices and formal complaints on the group's behalf, illustrating how organized this fandom's advocacy infrastructure had become</t>
        </is>
      </c>
      <c r="E152" t="inlineStr"/>
      <c r="F152" t="inlineStr">
        <is>
          <t>N</t>
        </is>
      </c>
      <c r="G152" t="inlineStr"/>
      <c r="H152" t="inlineStr"/>
      <c r="I152" t="inlineStr"/>
    </row>
    <row r="153">
      <c r="A153" t="n">
        <v>152</v>
      </c>
      <c r="B153" t="inlineStr">
        <is>
          <t>투어스(TWS)</t>
        </is>
      </c>
      <c r="C153" t="inlineStr">
        <is>
          <t>spillover</t>
        </is>
      </c>
      <c r="D153" s="3" t="inlineStr">
        <is>
          <t>TWS won Best New Male Artist and Best Dance Performance (Male Group) at the 2024 MAMA Awards, held at the Dolby Theatre in Los Angeles — the first time the MAMA ceremony was held on U.S. soil.</t>
        </is>
      </c>
      <c r="E153" t="inlineStr"/>
      <c r="F153" t="inlineStr">
        <is>
          <t>N</t>
        </is>
      </c>
      <c r="G153" t="inlineStr"/>
      <c r="H153" t="inlineStr"/>
      <c r="I153" t="inlineStr"/>
    </row>
    <row r="154">
      <c r="A154" t="n">
        <v>153</v>
      </c>
      <c r="B154" t="inlineStr">
        <is>
          <t>카더가든</t>
        </is>
      </c>
      <c r="C154" t="inlineStr">
        <is>
          <t>spillover</t>
        </is>
      </c>
      <c r="D154" s="3" t="inlineStr">
        <is>
          <t>NH투자증권은 신규 고객 유치 캠페인 '나무꾼 대모집'의 광고 모델로 카더가든을 발탁해 국내주식 거래 수수료 할인 등을 홍보했다(2026년 4월 21일).</t>
        </is>
      </c>
      <c r="E154" t="inlineStr"/>
      <c r="F154" t="inlineStr">
        <is>
          <t>N</t>
        </is>
      </c>
      <c r="G154" t="inlineStr"/>
      <c r="H154" t="inlineStr"/>
      <c r="I154" t="inlineStr"/>
    </row>
    <row r="155">
      <c r="A155" t="n">
        <v>154</v>
      </c>
      <c r="B155" t="inlineStr">
        <is>
          <t>싸이</t>
        </is>
      </c>
      <c r="C155" t="inlineStr">
        <is>
          <t>loyalty</t>
        </is>
      </c>
      <c r="D155" s="3" t="inlineStr">
        <is>
          <t>태국 kapook.com 뮤직스테이션은 '강남스타일' 태국 도착 소식과 함께 싸이의 말춤 공연 및 태국 팬들에게 재방문을 요청하는 모습을 보도했다</t>
        </is>
      </c>
      <c r="E155" t="inlineStr"/>
      <c r="F155" t="inlineStr">
        <is>
          <t>N</t>
        </is>
      </c>
      <c r="G155" t="inlineStr"/>
      <c r="H155" t="inlineStr"/>
      <c r="I155" t="inlineStr"/>
    </row>
    <row r="156">
      <c r="A156" t="n">
        <v>155</v>
      </c>
      <c r="B156" t="inlineStr">
        <is>
          <t>엔믹스</t>
        </is>
      </c>
      <c r="C156" t="inlineStr">
        <is>
          <t>spillover</t>
        </is>
      </c>
      <c r="D156" s="3" t="inlineStr">
        <is>
          <t>카니발 시즌 '파블로의 블로쿠' 참여차 브라질을 방문한다고 CNN 브라질이 보도</t>
        </is>
      </c>
      <c r="E156" t="inlineStr"/>
      <c r="F156" t="inlineStr">
        <is>
          <t>N</t>
        </is>
      </c>
      <c r="G156" t="inlineStr"/>
      <c r="H156" t="inlineStr"/>
      <c r="I156" t="inlineStr"/>
    </row>
    <row r="157">
      <c r="A157" t="n">
        <v>156</v>
      </c>
      <c r="B157" t="inlineStr">
        <is>
          <t>10CM</t>
        </is>
      </c>
      <c r="C157" t="inlineStr">
        <is>
          <t>spillover</t>
        </is>
      </c>
      <c r="D157" s="3" t="inlineStr">
        <is>
          <t>대만 티켓 플랫폼 KKTIX에 따르면 10CM은 2026년 3월 20일 신베이 Zepp New Taipei에서 '2026 10CM Asia Tour &lt;To 10CM: Chapter 1&gt;' 타이베이 공연을 개최했다.</t>
        </is>
      </c>
      <c r="E157" t="inlineStr"/>
      <c r="F157" t="inlineStr">
        <is>
          <t>N</t>
        </is>
      </c>
      <c r="G157" t="inlineStr"/>
      <c r="H157" t="inlineStr"/>
      <c r="I157" t="inlineStr"/>
    </row>
    <row r="158">
      <c r="A158" t="n">
        <v>157</v>
      </c>
      <c r="B158" t="inlineStr">
        <is>
          <t>TWICE</t>
        </is>
      </c>
      <c r="C158" t="inlineStr">
        <is>
          <t>spillover</t>
        </is>
      </c>
      <c r="D158" s="3" t="inlineStr">
        <is>
          <t>Mnet 'TMI NEWS SHOW'는 트와이스가 2022년 상반기 진행한 광고 3건으로 약 15억원의 매출을 올린 것으로 추정된다고 보도했으며, 이는 같은 기간 미주 콘서트(228억원)·도쿄돔 공연(180억원) 등과 합산해 상반기 총 약 500억원(멤버 1인당 약 55억원) 수익의 일부로 집계됐다.</t>
        </is>
      </c>
      <c r="E158" t="inlineStr"/>
      <c r="F158" t="inlineStr">
        <is>
          <t>N</t>
        </is>
      </c>
      <c r="G158" t="inlineStr"/>
      <c r="H158" t="inlineStr"/>
      <c r="I158" t="inlineStr"/>
    </row>
    <row r="159">
      <c r="A159" t="n">
        <v>158</v>
      </c>
      <c r="B159" t="inlineStr">
        <is>
          <t>aespa</t>
        </is>
      </c>
      <c r="C159" t="inlineStr">
        <is>
          <t>loyalty</t>
        </is>
      </c>
      <c r="D159" s="3" t="inlineStr">
        <is>
          <t>aespa 공식 팬클럽 'MY' 멤버십이 위버스샵을 통해 정식 오픈되었으며 한국어/일본어/중국어 등 다국어로 공지되어 글로벌 팬덤 가입을 지원함</t>
        </is>
      </c>
      <c r="E159" t="inlineStr">
        <is>
          <t>위버스</t>
        </is>
      </c>
      <c r="F159" t="inlineStr">
        <is>
          <t>N</t>
        </is>
      </c>
      <c r="G159" t="inlineStr"/>
      <c r="H159" t="inlineStr"/>
      <c r="I159" t="inlineStr"/>
    </row>
    <row r="160">
      <c r="A160" t="n">
        <v>159</v>
      </c>
      <c r="B160" t="inlineStr">
        <is>
          <t>GOT7</t>
        </is>
      </c>
      <c r="C160" t="inlineStr">
        <is>
          <t>spillover</t>
        </is>
      </c>
      <c r="D160" s="3" t="inlineStr">
        <is>
          <t>2021년 4월 19일 잭슨 왕은 인스타그램 팔로워 2308만 4218명을 기록해 엑소 찬열을 근소한 차이로 앞지르며 중국 국적 인물 중 인스타그램 최다 팔로워 보유자가 됐다.</t>
        </is>
      </c>
      <c r="E160" t="inlineStr"/>
      <c r="F160" t="inlineStr">
        <is>
          <t>N</t>
        </is>
      </c>
      <c r="G160" t="inlineStr"/>
      <c r="H160" t="inlineStr"/>
      <c r="I160" t="inlineStr"/>
    </row>
    <row r="161">
      <c r="A161" t="n">
        <v>160</v>
      </c>
      <c r="B161" t="inlineStr">
        <is>
          <t>아이오아이</t>
        </is>
      </c>
      <c r="C161" t="inlineStr">
        <is>
          <t>loyalty</t>
        </is>
      </c>
      <c r="D161" s="3" t="inlineStr">
        <is>
          <t>After the 2017 disbandment scattered fans across members' individual groups/solo activities, the fandom "reconvened" strongly around the 2019 reunion announcement and 2021 anniversary broadcast</t>
        </is>
      </c>
      <c r="E161" t="inlineStr"/>
      <c r="F161" t="inlineStr">
        <is>
          <t>N</t>
        </is>
      </c>
      <c r="G161" t="inlineStr"/>
      <c r="H161" t="inlineStr"/>
      <c r="I161" t="inlineStr"/>
    </row>
    <row r="162">
      <c r="A162" t="n">
        <v>161</v>
      </c>
      <c r="B162" t="inlineStr">
        <is>
          <t>슈퍼주니어</t>
        </is>
      </c>
      <c r="C162" t="inlineStr">
        <is>
          <t>spillover</t>
        </is>
      </c>
      <c r="D162" s="3" t="inlineStr">
        <is>
          <t>중국 신랑(新浪) k.sina.com.cn이 슈퍼주니어가 서울가요대상에서 '월드초이스'상을 수상했다는 소식을 전하며, 멤버들이 "전 세계에서 열심히 돈을 벌고 있다"는 소감과 함께 팬들에게 인사를 전했다고 보도했다.</t>
        </is>
      </c>
      <c r="E162" t="inlineStr"/>
      <c r="F162" t="inlineStr">
        <is>
          <t>N</t>
        </is>
      </c>
      <c r="G162" t="inlineStr"/>
      <c r="H162" t="inlineStr"/>
      <c r="I162" t="inlineStr"/>
    </row>
    <row r="163">
      <c r="A163" s="4" t="n">
        <v>162</v>
      </c>
      <c r="B163" s="4" t="inlineStr">
        <is>
          <t>아이오아이</t>
        </is>
      </c>
      <c r="C163" s="4" t="inlineStr">
        <is>
          <t>spillover</t>
        </is>
      </c>
      <c r="D163" s="5" t="inlineStr">
        <is>
          <t>완전체 아이오아이(전소미·김세정·정채연 등 9인)가 2026년 5월 SBS '아니 근데 진짜!'에 출연해 10년 만의 재결합 비화를 공개했다.</t>
        </is>
      </c>
      <c r="E163" s="4" t="inlineStr"/>
      <c r="F163" s="4" t="inlineStr">
        <is>
          <t>Y</t>
        </is>
      </c>
      <c r="G163" s="4" t="inlineStr">
        <is>
          <t>SBS '아니 근데 진짜!' 출연</t>
        </is>
      </c>
      <c r="H163" s="4" t="inlineStr"/>
      <c r="I163" s="4" t="inlineStr"/>
    </row>
    <row r="164">
      <c r="A164" t="n">
        <v>163</v>
      </c>
      <c r="B164" t="inlineStr">
        <is>
          <t>아이오아이</t>
        </is>
      </c>
      <c r="C164" t="inlineStr">
        <is>
          <t>spillover</t>
        </is>
      </c>
      <c r="D164" s="3" t="inlineStr">
        <is>
          <t>코레진의 아이오아이 태그 페이지에는 2026년 5월 재결합한 아이오아이가 신곡 'Suddenly'로 한국 음원차트에서 실시간 올킬을 달성했다는 기사가 게재되어 있다.</t>
        </is>
      </c>
      <c r="E164" t="inlineStr"/>
      <c r="F164" t="inlineStr">
        <is>
          <t>N</t>
        </is>
      </c>
      <c r="G164" t="inlineStr"/>
      <c r="H164" t="inlineStr"/>
      <c r="I164" t="inlineStr"/>
    </row>
    <row r="165">
      <c r="A165" t="n">
        <v>164</v>
      </c>
      <c r="B165" t="inlineStr">
        <is>
          <t>김동률</t>
        </is>
      </c>
      <c r="C165" t="inlineStr">
        <is>
          <t>spillover</t>
        </is>
      </c>
      <c r="D165" s="3" t="inlineStr">
        <is>
          <t>24인조 오케스트라, 7인조 밴드, 6인조 브라스, 8인조 합창단 등 약 60명 규모의 공연진을 동원한 대형 프로덕션으로, 국내 솔로 콘서트 중 손꼽히는 스케일을 구현했다</t>
        </is>
      </c>
      <c r="E165" t="inlineStr"/>
      <c r="F165" t="inlineStr">
        <is>
          <t>N</t>
        </is>
      </c>
      <c r="G165" t="inlineStr"/>
      <c r="H165" t="inlineStr"/>
      <c r="I165" t="inlineStr"/>
    </row>
    <row r="166">
      <c r="A166" t="n">
        <v>165</v>
      </c>
      <c r="B166" t="inlineStr">
        <is>
          <t>몬스타엑스</t>
        </is>
      </c>
      <c r="C166" t="inlineStr">
        <is>
          <t>spillover</t>
        </is>
      </c>
      <c r="D166" s="3" t="inlineStr">
        <is>
          <t>The Momentum(태국)은 방콕 공연에서 멤버들이 팬들을 위해 준비한 태국어 문장으로 인사했고, 객석 근처로 다가가 직접 악수하는 순간이 있었다고 전했다.</t>
        </is>
      </c>
      <c r="E166" t="inlineStr"/>
      <c r="F166" t="inlineStr">
        <is>
          <t>N</t>
        </is>
      </c>
      <c r="G166" t="inlineStr"/>
      <c r="H166" t="inlineStr"/>
      <c r="I166" t="inlineStr"/>
    </row>
    <row r="167">
      <c r="A167" t="n">
        <v>166</v>
      </c>
      <c r="B167" t="inlineStr">
        <is>
          <t>빅마마</t>
        </is>
      </c>
      <c r="C167" t="inlineStr">
        <is>
          <t>loyalty</t>
        </is>
      </c>
      <c r="D167" s="3" t="inlineStr">
        <is>
          <t>빅마마는 2022년 4월 15년 만에 단독 전국투어 콘서트를 서울·부산·전주·대구·울산에서 5주간 개최했다.</t>
        </is>
      </c>
      <c r="E167" t="inlineStr"/>
      <c r="F167" t="inlineStr">
        <is>
          <t>N</t>
        </is>
      </c>
      <c r="G167" t="inlineStr"/>
      <c r="H167" t="inlineStr"/>
      <c r="I167" t="inlineStr"/>
    </row>
    <row r="168">
      <c r="A168" t="n">
        <v>167</v>
      </c>
      <c r="B168" t="inlineStr">
        <is>
          <t>지드래곤 (G-Dragon)</t>
        </is>
      </c>
      <c r="C168" t="inlineStr">
        <is>
          <t>spillover</t>
        </is>
      </c>
      <c r="D168" s="3" t="inlineStr">
        <is>
          <t>샤넬, 지드래곤 포함 글로벌 앰버서더 5인과 2026 봄-여름 아이웨어 캠페인 공개</t>
        </is>
      </c>
      <c r="E168" t="inlineStr"/>
      <c r="F168" t="inlineStr">
        <is>
          <t>N</t>
        </is>
      </c>
      <c r="G168" t="inlineStr"/>
      <c r="H168" t="inlineStr"/>
      <c r="I168" t="inlineStr"/>
    </row>
    <row r="169">
      <c r="A169" t="n">
        <v>168</v>
      </c>
      <c r="B169" t="inlineStr">
        <is>
          <t>IKON</t>
        </is>
      </c>
      <c r="C169" t="inlineStr">
        <is>
          <t>loyalty</t>
        </is>
      </c>
      <c r="D169" s="3" t="inlineStr">
        <is>
          <t>인도네시아 liputan6.com은 2026년 8월 21일 자카르타 이스토라 세나얀에서 열리는 iKON 'FOUREVER WORLD TOUR' 공연을 보도하며, 현지 팬클럽 iKONIC을 "동남아시아에서 가장 크고 가장 로열한 팬덤 중 하나(salah satu yang terbesar dan paling loyal di Asia Tenggara)"로 소개했다</t>
        </is>
      </c>
      <c r="E169" t="inlineStr"/>
      <c r="F169" t="inlineStr">
        <is>
          <t>N</t>
        </is>
      </c>
      <c r="G169" t="inlineStr"/>
      <c r="H169" t="inlineStr"/>
      <c r="I169" t="inlineStr"/>
    </row>
    <row r="170">
      <c r="A170" t="n">
        <v>169</v>
      </c>
      <c r="B170" t="inlineStr">
        <is>
          <t>슈퍼주니어</t>
        </is>
      </c>
      <c r="C170" t="inlineStr">
        <is>
          <t>loyalty</t>
        </is>
      </c>
      <c r="D170" s="3" t="inlineStr">
        <is>
          <t>2008년 팬클럽 E.L.F. 회원들이 SM엔터테인먼트 주식 5만8206주(지분 0.3%)를 매입해 경영 현안에 영향력을 행사하고자 했다.</t>
        </is>
      </c>
      <c r="E170" t="inlineStr"/>
      <c r="F170" t="inlineStr">
        <is>
          <t>N</t>
        </is>
      </c>
      <c r="G170" t="inlineStr"/>
      <c r="H170" t="inlineStr"/>
      <c r="I170" t="inlineStr"/>
    </row>
    <row r="171">
      <c r="A171" t="n">
        <v>170</v>
      </c>
      <c r="B171" t="inlineStr">
        <is>
          <t>슈퍼주니어</t>
        </is>
      </c>
      <c r="C171" t="inlineStr">
        <is>
          <t>spillover</t>
        </is>
      </c>
      <c r="D171" s="3" t="inlineStr">
        <is>
          <t>캐딜락이 2017년 12월 슈퍼주니어 동해와 함께한 브랜디드 뮤직 프로젝트 'Perfect'를 공개해 자동차 브랜드 콘텐츠에 참여시켰다.</t>
        </is>
      </c>
      <c r="E171" t="inlineStr"/>
      <c r="F171" t="inlineStr">
        <is>
          <t>N</t>
        </is>
      </c>
      <c r="G171" t="inlineStr"/>
      <c r="H171" t="inlineStr"/>
      <c r="I171" t="inlineStr"/>
    </row>
    <row r="172">
      <c r="A172" t="n">
        <v>171</v>
      </c>
      <c r="B172" t="inlineStr">
        <is>
          <t>악동뮤지션</t>
        </is>
      </c>
      <c r="C172" t="inlineStr">
        <is>
          <t>spillover</t>
        </is>
      </c>
      <c r="D172" s="3" t="inlineStr">
        <is>
          <t>2017년 '일기장' 투어는 서울 8회 공연에 더해 전국 9개 도시 순회, 2023~2024년 'AKMUTOPIA' 투어는 10개 도시를 도는 등 지역 공연시장에 지속적으로 파급 효과를 내고 있다.</t>
        </is>
      </c>
      <c r="E172" t="inlineStr"/>
      <c r="F172" t="inlineStr">
        <is>
          <t>N</t>
        </is>
      </c>
      <c r="G172" t="inlineStr"/>
      <c r="H172" t="inlineStr"/>
      <c r="I172" t="inlineStr"/>
    </row>
    <row r="173">
      <c r="A173" t="n">
        <v>172</v>
      </c>
      <c r="B173" t="inlineStr">
        <is>
          <t>김재중</t>
        </is>
      </c>
      <c r="C173" t="inlineStr">
        <is>
          <t>loyalty</t>
        </is>
      </c>
      <c r="D173" s="3" t="inlineStr">
        <is>
          <t>김재중은 2023년 6월 22일 글로벌 팬덤 공식 팬클럽 'BOSS BABIES'를 창설했다.</t>
        </is>
      </c>
      <c r="E173" t="inlineStr"/>
      <c r="F173" t="inlineStr">
        <is>
          <t>N</t>
        </is>
      </c>
      <c r="G173" t="inlineStr"/>
      <c r="H173" t="inlineStr"/>
      <c r="I173" t="inlineStr"/>
    </row>
    <row r="174">
      <c r="A174" t="n">
        <v>173</v>
      </c>
      <c r="B174" t="inlineStr">
        <is>
          <t>10CM</t>
        </is>
      </c>
      <c r="C174" t="inlineStr">
        <is>
          <t>spillover</t>
        </is>
      </c>
      <c r="D174" s="3" t="inlineStr">
        <is>
          <t>일본 프레스릴리스에 따르면 10CM은 2026년 3월 28일 도쿄 Zepp DiverCity에서 단독 공연 '2026 10CM Asia Tour &lt;To 10CM: Chapter 1&gt; in Tokyo'를 개최하며 약 1년 7개월 만에 일본 팬들과 재회했다.</t>
        </is>
      </c>
      <c r="E174" t="inlineStr"/>
      <c r="F174" t="inlineStr">
        <is>
          <t>N</t>
        </is>
      </c>
      <c r="G174" t="inlineStr"/>
      <c r="H174" t="inlineStr"/>
      <c r="I174" t="inlineStr"/>
    </row>
    <row r="175">
      <c r="A175" t="n">
        <v>174</v>
      </c>
      <c r="B175" t="inlineStr">
        <is>
          <t>BTS</t>
        </is>
      </c>
      <c r="C175" t="inlineStr">
        <is>
          <t>loyalty</t>
        </is>
      </c>
      <c r="D175" s="3" t="inlineStr">
        <is>
          <t>VIP 티켓(약 450만 루피아)이 프리세일 직후 매진됐고 이틀간 대기번호가 30만 명 이상, 일부는 50만 번대까지 나왔다고 인도네시아 매체 Medcom.id가 보도</t>
        </is>
      </c>
      <c r="E175" t="inlineStr"/>
      <c r="F175" t="inlineStr">
        <is>
          <t>N</t>
        </is>
      </c>
      <c r="G175" t="inlineStr"/>
      <c r="H175" t="inlineStr"/>
      <c r="I175" t="inlineStr"/>
    </row>
    <row r="176">
      <c r="A176" t="n">
        <v>175</v>
      </c>
      <c r="B176" t="inlineStr">
        <is>
          <t>Zion.T</t>
        </is>
      </c>
      <c r="C176" t="inlineStr">
        <is>
          <t>spillover</t>
        </is>
      </c>
      <c r="D176" s="3" t="inlineStr">
        <is>
          <t>일본 Kstyle은 "星野源とのコラボが日本でも話題に！実力派アーティストZion.Tの魅力に再注目"(호시노 겐과의 협업이 일본에서도 화제! 실력파 아티스트 Zion.T 매력 재조명)라는 제목으로 협업을 계기로 한 일본 내 재조명 기사를 게재했다.</t>
        </is>
      </c>
      <c r="E176" t="inlineStr"/>
      <c r="F176" t="inlineStr">
        <is>
          <t>N</t>
        </is>
      </c>
      <c r="G176" t="inlineStr"/>
      <c r="H176" t="inlineStr"/>
      <c r="I176" t="inlineStr"/>
    </row>
    <row r="177">
      <c r="A177" t="n">
        <v>176</v>
      </c>
      <c r="B177" t="inlineStr">
        <is>
          <t>BLACKPINK</t>
        </is>
      </c>
      <c r="C177" t="inlineStr">
        <is>
          <t>spillover</t>
        </is>
      </c>
      <c r="D177" s="3" t="inlineStr">
        <is>
          <t>로제가 2025년 9월 7일 MTV 비디오 뮤직 어워드에서 브루노 마스와 함께한 'APT.'로 '올해의 노래상'을 수상해 이 부문 최초 수상 K팝 아티스트가 됐으며, 블랙핑크로서 '베스트 그룹상'도 2년 연속 수상했다.</t>
        </is>
      </c>
      <c r="E177" t="inlineStr"/>
      <c r="F177" t="inlineStr">
        <is>
          <t>N</t>
        </is>
      </c>
      <c r="G177" t="inlineStr"/>
      <c r="H177" t="inlineStr"/>
      <c r="I177" t="inlineStr"/>
    </row>
    <row r="178">
      <c r="A178" t="n">
        <v>177</v>
      </c>
      <c r="B178" t="inlineStr">
        <is>
          <t>NCT</t>
        </is>
      </c>
      <c r="C178" t="inlineStr">
        <is>
          <t>loyalty</t>
        </is>
      </c>
      <c r="D178" s="3" t="inlineStr">
        <is>
          <t>NCT 서브유닛 JNJM(제노·재민)이 '2026 NCT JNJM FANMEETING TOUR DUALITY'로 서울-도쿄-자카르타(7월 4일, 테니스 인도어 스타디움)-마카오-가오슝-방콕(8월 8일)을 순회한다고 인도네시아 detikPop이 보도, 동남아 3개국을 아우르는 팬미팅 투어임을 보여준다</t>
        </is>
      </c>
      <c r="E178" t="inlineStr"/>
      <c r="F178" t="inlineStr">
        <is>
          <t>N</t>
        </is>
      </c>
      <c r="G178" t="inlineStr"/>
      <c r="H178" t="inlineStr"/>
      <c r="I178" t="inlineStr"/>
    </row>
    <row r="179">
      <c r="A179" t="n">
        <v>178</v>
      </c>
      <c r="B179" t="inlineStr">
        <is>
          <t>여자친구</t>
        </is>
      </c>
      <c r="C179" t="inlineStr">
        <is>
          <t>spillover</t>
        </is>
      </c>
      <c r="D179" s="3" t="inlineStr">
        <is>
          <t>여자친구가 2016년 여행가방 브랜드 '아메리칸 투어리스터(American Tourister)'의 광고 모델로 활동했다.</t>
        </is>
      </c>
      <c r="E179" t="inlineStr"/>
      <c r="F179" t="inlineStr">
        <is>
          <t>N</t>
        </is>
      </c>
      <c r="G179" t="inlineStr"/>
      <c r="H179" t="inlineStr"/>
      <c r="I179" t="inlineStr"/>
    </row>
    <row r="180">
      <c r="A180" t="n">
        <v>179</v>
      </c>
      <c r="B180" t="inlineStr">
        <is>
          <t>장윤정</t>
        </is>
      </c>
      <c r="C180" t="inlineStr">
        <is>
          <t>loyalty</t>
        </is>
      </c>
      <c r="D180" s="3" t="inlineStr">
        <is>
          <t>장윤정은 2024년 3월 2일 부산 KBS홀에서 낮·저녁 2회에 걸쳐 '2024 장윤정 라이브 콘서트' 부산 공연을 열었고, 관객들 사이에서 '정말 멋있고 반했다', '인생 공연이다' 등의 호평이 이어졌다.</t>
        </is>
      </c>
      <c r="E180" t="inlineStr"/>
      <c r="F180" t="inlineStr">
        <is>
          <t>N</t>
        </is>
      </c>
      <c r="G180" t="inlineStr"/>
      <c r="H180" t="inlineStr"/>
      <c r="I180" t="inlineStr"/>
    </row>
    <row r="181">
      <c r="A181" t="n">
        <v>180</v>
      </c>
      <c r="B181" t="inlineStr">
        <is>
          <t>god</t>
        </is>
      </c>
      <c r="C181" t="inlineStr">
        <is>
          <t>loyalty</t>
        </is>
      </c>
      <c r="D181" s="3" t="inlineStr">
        <is>
          <t>데뷔 25주년인 2024년 9월 서울 올림픽공원에서 연 단독 콘서트 'CHAPTER 0'는 3일간 전 회차가 예매 오픈과 동시에 매진되었고, 약 4만 명의 관객이 운집함</t>
        </is>
      </c>
      <c r="E181" t="inlineStr"/>
      <c r="F181" t="inlineStr">
        <is>
          <t>N</t>
        </is>
      </c>
      <c r="G181" t="inlineStr"/>
      <c r="H181" t="inlineStr"/>
      <c r="I181" t="inlineStr"/>
    </row>
    <row r="182">
      <c r="A182" t="n">
        <v>181</v>
      </c>
      <c r="B182" t="inlineStr">
        <is>
          <t>아일릿</t>
        </is>
      </c>
      <c r="C182" t="inlineStr">
        <is>
          <t>spillover</t>
        </is>
      </c>
      <c r="D182" s="3" t="inlineStr">
        <is>
          <t>폰드그룹의 글로벌 프리미엄 캐주얼 브랜드 슈퍼드라이(Superdry)가 아일릿(ILLIT)을 새로운 브랜드 앰버서더로 발탁하고 2025 F/W 빈티지 룩 캠페인을 전개했다(2025년 8월 7일).</t>
        </is>
      </c>
      <c r="E182" t="inlineStr"/>
      <c r="F182" t="inlineStr">
        <is>
          <t>N</t>
        </is>
      </c>
      <c r="G182" t="inlineStr"/>
      <c r="H182" t="inlineStr"/>
      <c r="I182" t="inlineStr"/>
    </row>
    <row r="183">
      <c r="A183" t="n">
        <v>182</v>
      </c>
      <c r="B183" t="inlineStr">
        <is>
          <t>임영웅</t>
        </is>
      </c>
      <c r="C183" t="inlineStr">
        <is>
          <t>loyalty</t>
        </is>
      </c>
      <c r="D183" s="3" t="inlineStr">
        <is>
          <t>'영웅시대'가 앨범 구입비로 모은 300만 원을 기부하는 등 선행 릴레이를 지속함</t>
        </is>
      </c>
      <c r="E183" t="inlineStr"/>
      <c r="F183" t="inlineStr">
        <is>
          <t>N</t>
        </is>
      </c>
      <c r="G183" t="inlineStr"/>
      <c r="H183" t="inlineStr"/>
      <c r="I183" t="inlineStr"/>
    </row>
    <row r="184">
      <c r="A184" t="n">
        <v>183</v>
      </c>
      <c r="B184" t="inlineStr">
        <is>
          <t>다비치</t>
        </is>
      </c>
      <c r="C184" t="inlineStr">
        <is>
          <t>spillover</t>
        </is>
      </c>
      <c r="D184" s="3" t="inlineStr">
        <is>
          <t>농심켈로그는 자사 켈로그 프로틴 라인 신제품의 새로운 모델로 뮤지션 강민경을 선정하고, 신규 광고 영상을 공개한다고 30일 밝혔다.</t>
        </is>
      </c>
      <c r="E184" t="inlineStr"/>
      <c r="F184" t="inlineStr">
        <is>
          <t>N</t>
        </is>
      </c>
      <c r="G184" t="inlineStr"/>
      <c r="H184" t="inlineStr"/>
      <c r="I184" t="inlineStr"/>
    </row>
    <row r="185">
      <c r="A185" t="n">
        <v>184</v>
      </c>
      <c r="B185" t="inlineStr">
        <is>
          <t>임영웅</t>
        </is>
      </c>
      <c r="C185" t="inlineStr">
        <is>
          <t>loyalty</t>
        </is>
      </c>
      <c r="D185" s="3" t="inlineStr">
        <is>
          <t>임영웅 팬클럽 영웅시대는 2025년 8월에도 지속적인 기부 활동을 이어가며 '선행 어디까지' 화제를 모았다.</t>
        </is>
      </c>
      <c r="E185" t="inlineStr"/>
      <c r="F185" t="inlineStr">
        <is>
          <t>N</t>
        </is>
      </c>
      <c r="G185" t="inlineStr"/>
      <c r="H185" t="inlineStr"/>
      <c r="I185" t="inlineStr"/>
    </row>
    <row r="186">
      <c r="A186" t="n">
        <v>185</v>
      </c>
      <c r="B186" t="inlineStr">
        <is>
          <t>NCT</t>
        </is>
      </c>
      <c r="C186" t="inlineStr">
        <is>
          <t>spillover</t>
        </is>
      </c>
      <c r="D186" s="3" t="inlineStr">
        <is>
          <t>NCT DREAM이 2017년 FIFA U-20 월드컵 코리아 홍보대사로 위촉됐다.</t>
        </is>
      </c>
      <c r="E186" t="inlineStr"/>
      <c r="F186" t="inlineStr">
        <is>
          <t>N</t>
        </is>
      </c>
      <c r="G186" t="inlineStr"/>
      <c r="H186" t="inlineStr"/>
      <c r="I186" t="inlineStr"/>
    </row>
    <row r="187">
      <c r="A187" t="n">
        <v>186</v>
      </c>
      <c r="B187" t="inlineStr">
        <is>
          <t>지코</t>
        </is>
      </c>
      <c r="C187" t="inlineStr">
        <is>
          <t>spillover</t>
        </is>
      </c>
      <c r="D187" s="3" t="inlineStr">
        <is>
          <t>'아무노래'는 멜론에서 공개 24시간 만에 130만 명 이상이 청취했고 멜론 주간 차트 8주 연속 1위, 한국에서 플래티넘(스트리밍 1억 회 이상) 인증을 받았다</t>
        </is>
      </c>
      <c r="E187" t="inlineStr"/>
      <c r="F187" t="inlineStr">
        <is>
          <t>N</t>
        </is>
      </c>
      <c r="G187" t="inlineStr"/>
      <c r="H187" t="inlineStr"/>
      <c r="I187" t="inlineStr"/>
    </row>
    <row r="188">
      <c r="A188" t="n">
        <v>187</v>
      </c>
      <c r="B188" t="inlineStr">
        <is>
          <t>BABYMONSTER</t>
        </is>
      </c>
      <c r="C188" t="inlineStr">
        <is>
          <t>loyalty</t>
        </is>
      </c>
      <c r="D188" s="3" t="inlineStr">
        <is>
          <t>"BABYMONSTER: Полный состав, новый старт и фан-поддержка" ("BABYMONSTER не ограничиваются Кореей... планирует масштабный фан-тур по пяти городам Азии") (완전체 활동과 팬 지지, 아시아 팬투어)</t>
        </is>
      </c>
      <c r="E188" t="inlineStr"/>
      <c r="F188" t="inlineStr">
        <is>
          <t>N</t>
        </is>
      </c>
      <c r="G188" t="inlineStr"/>
      <c r="H188" t="inlineStr"/>
      <c r="I188" t="inlineStr"/>
    </row>
    <row r="189">
      <c r="A189" t="n">
        <v>188</v>
      </c>
      <c r="B189" t="inlineStr">
        <is>
          <t>ATEEZ</t>
        </is>
      </c>
      <c r="C189" t="inlineStr">
        <is>
          <t>spillover</t>
        </is>
      </c>
      <c r="D189" s="3" t="inlineStr">
        <is>
          <t>ATEEZ's "GOLDEN HOUR: Part.5" debuted at No. 1 on the Billboard 200 albums chart</t>
        </is>
      </c>
      <c r="E189" t="inlineStr"/>
      <c r="F189" t="inlineStr">
        <is>
          <t>N</t>
        </is>
      </c>
      <c r="G189" t="inlineStr"/>
      <c r="H189" t="inlineStr"/>
      <c r="I189" t="inlineStr"/>
    </row>
    <row r="190">
      <c r="A190" t="n">
        <v>189</v>
      </c>
      <c r="B190" t="inlineStr">
        <is>
          <t>이효리</t>
        </is>
      </c>
      <c r="C190" t="inlineStr">
        <is>
          <t>spillover</t>
        </is>
      </c>
      <c r="D190" s="3" t="inlineStr">
        <is>
          <t>2009~2010년경 대우증권의 온라인 거래 서비스 '대우증권 다이렉트' 광고에 이효리가 출연했다.</t>
        </is>
      </c>
      <c r="E190" t="inlineStr"/>
      <c r="F190" t="inlineStr">
        <is>
          <t>N</t>
        </is>
      </c>
      <c r="G190" t="inlineStr"/>
      <c r="H190" t="inlineStr"/>
      <c r="I190" t="inlineStr"/>
    </row>
    <row r="191">
      <c r="A191" s="4" t="n">
        <v>190</v>
      </c>
      <c r="B191" s="4" t="inlineStr">
        <is>
          <t>카더가든</t>
        </is>
      </c>
      <c r="C191" s="4" t="inlineStr">
        <is>
          <t>loyalty</t>
        </is>
      </c>
      <c r="D191" s="5" t="inlineStr">
        <is>
          <t>2019년 SBS 서바이벌 프로그램 '더 팬'에서 대중·팬 투표를 거쳐 최종 우승을 차지했다.</t>
        </is>
      </c>
      <c r="E191" s="4" t="inlineStr"/>
      <c r="F191" s="4" t="inlineStr">
        <is>
          <t>Y</t>
        </is>
      </c>
      <c r="G191" s="4" t="inlineStr">
        <is>
          <t>SBS 서바이벌 '더 팬' 우승</t>
        </is>
      </c>
      <c r="H191" s="4" t="inlineStr"/>
      <c r="I191" s="4" t="inlineStr"/>
    </row>
    <row r="192">
      <c r="A192" t="n">
        <v>191</v>
      </c>
      <c r="B192" t="inlineStr">
        <is>
          <t>소녀시대</t>
        </is>
      </c>
      <c r="C192" t="inlineStr">
        <is>
          <t>spillover</t>
        </is>
      </c>
      <c r="D192" s="3" t="inlineStr">
        <is>
          <t>소녀시대는 2010년 에버랜드 워터파크 캐리비안베이의 광고 모델로 2PM과 함께 발탁되어 라이프가드 컨셉의 광고를 촬영했다.</t>
        </is>
      </c>
      <c r="E192" t="inlineStr"/>
      <c r="F192" t="inlineStr">
        <is>
          <t>N</t>
        </is>
      </c>
      <c r="G192" t="inlineStr"/>
      <c r="H192" t="inlineStr"/>
      <c r="I192" t="inlineStr"/>
    </row>
    <row r="193">
      <c r="A193" t="n">
        <v>192</v>
      </c>
      <c r="B193" t="inlineStr">
        <is>
          <t>BLACKPINK</t>
        </is>
      </c>
      <c r="C193" t="inlineStr">
        <is>
          <t>loyalty</t>
        </is>
      </c>
      <c r="D193" s="3" t="inlineStr">
        <is>
          <t>YG라이프, '리사, 태국인들의 마음을 훔치다(Stealing the Hearts of Thai People)' 제하 기사 게재</t>
        </is>
      </c>
      <c r="E193" t="inlineStr"/>
      <c r="F193" t="inlineStr">
        <is>
          <t>N</t>
        </is>
      </c>
      <c r="G193" t="inlineStr"/>
      <c r="H193" t="inlineStr"/>
      <c r="I193" t="inlineStr"/>
    </row>
    <row r="194">
      <c r="A194" t="n">
        <v>193</v>
      </c>
      <c r="B194" t="inlineStr">
        <is>
          <t>Hearts2Hearts</t>
        </is>
      </c>
      <c r="C194" t="inlineStr">
        <is>
          <t>spillover</t>
        </is>
      </c>
      <c r="D194" s="3" t="inlineStr">
        <is>
          <t>Hearts2Hearts는 Pinkvilla와의 단독 인터뷰에서 멤버 지우가 K팝을 응원해준 인도 팬들에게 감사를 전하며 언젠가 인도에서 콘서트를 열고 싶다는 바람을 밝혔다.</t>
        </is>
      </c>
      <c r="E194" t="inlineStr"/>
      <c r="F194" t="inlineStr">
        <is>
          <t>N</t>
        </is>
      </c>
      <c r="G194" t="inlineStr"/>
      <c r="H194" t="inlineStr"/>
      <c r="I194" t="inlineStr"/>
    </row>
    <row r="195">
      <c r="A195" t="n">
        <v>194</v>
      </c>
      <c r="B195" t="inlineStr">
        <is>
          <t>IVE</t>
        </is>
      </c>
      <c r="C195" t="inlineStr">
        <is>
          <t>loyalty</t>
        </is>
      </c>
      <c r="D195" s="3" t="inlineStr">
        <is>
          <t>아이브의 팬콘서트 '아이브 스카우트'는 2025년 2~4월 회차마다 예매 시작과 동시에 전석이 매진되며 압도적인 티켓 파워를 보여줬다.</t>
        </is>
      </c>
      <c r="E195" t="inlineStr"/>
      <c r="F195" t="inlineStr">
        <is>
          <t>N</t>
        </is>
      </c>
      <c r="G195" t="inlineStr"/>
      <c r="H195" t="inlineStr"/>
      <c r="I195" t="inlineStr"/>
    </row>
    <row r="196">
      <c r="A196" s="4" t="n">
        <v>195</v>
      </c>
      <c r="B196" s="4" t="inlineStr">
        <is>
          <t>박서진</t>
        </is>
      </c>
      <c r="C196" s="4" t="inlineStr">
        <is>
          <t>spillover</t>
        </is>
      </c>
      <c r="D196" s="5" t="inlineStr">
        <is>
          <t>박서진은 '미스터트롯2' 본선 2차전 데스매치에서 안성훈에게 13대 2로 패해 우승 후보로 꼽혔음에도 최종 탈락했다.</t>
        </is>
      </c>
      <c r="E196" s="4" t="inlineStr"/>
      <c r="F196" s="4" t="inlineStr">
        <is>
          <t>Y</t>
        </is>
      </c>
      <c r="G196" s="4" t="inlineStr">
        <is>
          <t>'미스터트롯2' 본선</t>
        </is>
      </c>
      <c r="H196" s="4" t="inlineStr"/>
      <c r="I196" s="4" t="inlineStr"/>
    </row>
    <row r="197">
      <c r="A197" t="n">
        <v>196</v>
      </c>
      <c r="B197" t="inlineStr">
        <is>
          <t>Hearts2Hearts</t>
        </is>
      </c>
      <c r="C197" t="inlineStr">
        <is>
          <t>spillover</t>
        </is>
      </c>
      <c r="D197" s="3" t="inlineStr">
        <is>
          <t>나무위키에 따르면 Hearts2Hearts는 데뷔 후 음악방송에서 총 9관왕(엠카운트다운 3회, 쇼음악중심 2회, 더쇼 2회, 쇼챔피언 1회, SBS인기가요 1회)을 기록했으며, 데뷔 싱글 'The Chase'로 데뷔 16일 만에 첫 1위(2025년 3월), 'RUDE!'로 5관왕(2026년 3월), 'Lemon Tang'으로 2관왕(2026년 7월)을 달성했다</t>
        </is>
      </c>
      <c r="E197" t="inlineStr"/>
      <c r="F197" t="inlineStr">
        <is>
          <t>N</t>
        </is>
      </c>
      <c r="G197" t="inlineStr"/>
      <c r="H197" t="inlineStr"/>
      <c r="I197" t="inlineStr"/>
    </row>
    <row r="198">
      <c r="A198" t="n">
        <v>197</v>
      </c>
      <c r="B198" t="inlineStr">
        <is>
          <t>에픽하이</t>
        </is>
      </c>
      <c r="C198" t="inlineStr">
        <is>
          <t>spillover</t>
        </is>
      </c>
      <c r="D198" s="3" t="inlineStr">
        <is>
          <t>일본 매체 담미(danmee.jp)는 방탄소년단(BTS) 슈가가 연습생 시절부터 에픽하이를 롤모델로 삼아왔으며, 2019년 3월 11일 발매된 에픽하이의 새 앨범 'sleepless in __________'에 단순 피처링이 아닌 프로듀서로 참여해 팬들 사이에서 '꿈이 이루어졌다'는 반응이 나왔다고 보도했다.</t>
        </is>
      </c>
      <c r="E198" t="inlineStr"/>
      <c r="F198" t="inlineStr">
        <is>
          <t>N</t>
        </is>
      </c>
      <c r="G198" t="inlineStr"/>
      <c r="H198" t="inlineStr"/>
      <c r="I198" t="inlineStr"/>
    </row>
    <row r="199">
      <c r="A199" t="n">
        <v>198</v>
      </c>
      <c r="B199" t="inlineStr">
        <is>
          <t>HOT</t>
        </is>
      </c>
      <c r="C199" t="inlineStr">
        <is>
          <t>loyalty</t>
        </is>
      </c>
      <c r="D199" s="3" t="inlineStr">
        <is>
          <t>H.O.T.는 전성기 10만 명 규모의 공식 유료 팬클럽 'Club H.O.T.'를 운영했으며, 2018년 재결합 콘서트는 예매 오픈 즉시 8만 석이 매진되고 양일간 10만 명이 동원됨</t>
        </is>
      </c>
      <c r="E199" t="inlineStr"/>
      <c r="F199" t="inlineStr">
        <is>
          <t>N</t>
        </is>
      </c>
      <c r="G199" t="inlineStr"/>
      <c r="H199" t="inlineStr"/>
      <c r="I199" t="inlineStr"/>
    </row>
    <row r="200">
      <c r="A200" t="n">
        <v>199</v>
      </c>
      <c r="B200" t="inlineStr">
        <is>
          <t>GOT7</t>
        </is>
      </c>
      <c r="C200" t="inlineStr">
        <is>
          <t>loyalty</t>
        </is>
      </c>
      <c r="D200" s="3" t="inlineStr">
        <is>
          <t>갓세븐은 2017년 한 해 동안 음반 82만 장을 판매해 국내 그룹 음반 판매량 4위에 올랐다.</t>
        </is>
      </c>
      <c r="E200" t="inlineStr"/>
      <c r="F200" t="inlineStr">
        <is>
          <t>N</t>
        </is>
      </c>
      <c r="G200" t="inlineStr"/>
      <c r="H200" t="inlineStr"/>
      <c r="I200" t="inlineStr"/>
    </row>
    <row r="201">
      <c r="A201" t="n">
        <v>200</v>
      </c>
      <c r="B201" t="inlineStr">
        <is>
          <t>김연자</t>
        </is>
      </c>
      <c r="C201" t="inlineStr">
        <is>
          <t>loyalty</t>
        </is>
      </c>
      <c r="D201" s="3" t="inlineStr">
        <is>
          <t>2015년 3월 세종문화회관에서 데뷔 40주년 단독 콘서트 '파티'를 개최했다.</t>
        </is>
      </c>
      <c r="E201" t="inlineStr"/>
      <c r="F201" t="inlineStr">
        <is>
          <t>N</t>
        </is>
      </c>
      <c r="G201" t="inlineStr"/>
      <c r="H201" t="inlineStr"/>
      <c r="I201" t="inlineStr"/>
    </row>
  </sheetData>
  <autoFilter ref="A1:I201"/>
  <dataValidations count="1">
    <dataValidation sqref="H2:H201" showDropDown="0" showInputMessage="0" showErrorMessage="0" allowBlank="1" type="list">
      <formula1>"O,X"</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6" customWidth="1" min="2" max="2"/>
    <col width="10" customWidth="1" min="3" max="3"/>
    <col width="90" customWidth="1" min="4" max="4"/>
    <col width="18" customWidth="1" min="5" max="5"/>
    <col width="12" customWidth="1" min="6" max="6"/>
    <col width="40" customWidth="1" min="7" max="7"/>
    <col width="12" customWidth="1" min="8" max="8"/>
    <col width="30" customWidth="1" min="9" max="9"/>
  </cols>
  <sheetData>
    <row r="1">
      <c r="A1" s="2" t="inlineStr">
        <is>
          <t>번호</t>
        </is>
      </c>
      <c r="B1" s="2" t="inlineStr">
        <is>
          <t>팬덤</t>
        </is>
      </c>
      <c r="C1" s="2" t="inlineStr">
        <is>
          <t>유형</t>
        </is>
      </c>
      <c r="D1" s="2" t="inlineStr">
        <is>
          <t>문장</t>
        </is>
      </c>
      <c r="E1" s="2" t="inlineStr">
        <is>
          <t>힌트어(사전 밖 유사 표현)</t>
        </is>
      </c>
      <c r="F1" s="2" t="inlineStr">
        <is>
          <t>모델 판독(Y/N)</t>
        </is>
      </c>
      <c r="G1" s="2" t="inlineStr">
        <is>
          <t>판독 사유</t>
        </is>
      </c>
      <c r="H1" s="2" t="inlineStr">
        <is>
          <t>저자 판정(O/X)</t>
        </is>
      </c>
      <c r="I1" s="2" t="inlineStr">
        <is>
          <t>메모</t>
        </is>
      </c>
    </row>
    <row r="2">
      <c r="A2" t="n">
        <v>1</v>
      </c>
      <c r="B2" t="inlineStr">
        <is>
          <t>aespa</t>
        </is>
      </c>
      <c r="C2" t="inlineStr">
        <is>
          <t>loyalty</t>
        </is>
      </c>
      <c r="D2" s="3" t="inlineStr">
        <is>
          <t>데뷔 EP 'Savage'(2021)가 누적 78만 8,959장 팔리며 2023년 5월까지 SM 소속 그룹 데뷔 음반 최고 판매 기록을 유지했다</t>
        </is>
      </c>
      <c r="E2" t="inlineStr"/>
      <c r="F2" t="inlineStr">
        <is>
          <t>N</t>
        </is>
      </c>
      <c r="G2" t="inlineStr"/>
      <c r="H2" t="inlineStr"/>
      <c r="I2" t="inlineStr"/>
    </row>
    <row r="3">
      <c r="A3" t="n">
        <v>2</v>
      </c>
      <c r="B3" t="inlineStr">
        <is>
          <t>조용필</t>
        </is>
      </c>
      <c r="C3" t="inlineStr">
        <is>
          <t>spillover</t>
        </is>
      </c>
      <c r="D3" s="3" t="inlineStr">
        <is>
          <t>갤럽코리아 선정 2013년 '올해의 가수'로 뽑혔고 은관문화훈장을 받았다</t>
        </is>
      </c>
      <c r="E3" t="inlineStr"/>
      <c r="F3" t="inlineStr">
        <is>
          <t>N</t>
        </is>
      </c>
      <c r="G3" t="inlineStr"/>
      <c r="H3" t="inlineStr"/>
      <c r="I3" t="inlineStr"/>
    </row>
    <row r="4">
      <c r="A4" t="n">
        <v>3</v>
      </c>
      <c r="B4" t="inlineStr">
        <is>
          <t>RIIZE</t>
        </is>
      </c>
      <c r="C4" t="inlineStr">
        <is>
          <t>spillover</t>
        </is>
      </c>
      <c r="D4" s="3" t="inlineStr">
        <is>
          <t>RIIZE became the new brand ambassador for Crocs Japan</t>
        </is>
      </c>
      <c r="E4" t="inlineStr"/>
      <c r="F4" t="inlineStr">
        <is>
          <t>N</t>
        </is>
      </c>
      <c r="G4" t="inlineStr"/>
      <c r="H4" t="inlineStr"/>
      <c r="I4" t="inlineStr"/>
    </row>
    <row r="5">
      <c r="A5" t="n">
        <v>4</v>
      </c>
      <c r="B5" t="inlineStr">
        <is>
          <t>박서진</t>
        </is>
      </c>
      <c r="C5" t="inlineStr">
        <is>
          <t>loyalty</t>
        </is>
      </c>
      <c r="D5" s="3" t="inlineStr">
        <is>
          <t>박서진은 2025년 하반기 '뉴트렌드 대상' 예선에서 음악 부문 35.15%, 멀티테이너 부문 62.88% 득표율로 각각 1위에 올랐으며, 멀티테이너 부문에서는 블랙핑크 지수(11.73%)를 앞섰다.</t>
        </is>
      </c>
      <c r="E5" t="inlineStr"/>
      <c r="F5" t="inlineStr">
        <is>
          <t>N</t>
        </is>
      </c>
      <c r="G5" t="inlineStr"/>
      <c r="H5" t="inlineStr"/>
      <c r="I5" t="inlineStr"/>
    </row>
    <row r="6">
      <c r="A6" t="n">
        <v>5</v>
      </c>
      <c r="B6" t="inlineStr">
        <is>
          <t>LE SSERAFIM</t>
        </is>
      </c>
      <c r="C6" t="inlineStr">
        <is>
          <t>loyalty</t>
        </is>
      </c>
      <c r="D6" s="3" t="inlineStr">
        <is>
          <t>'Easy'로 그룹 최초 빌보드 핫100에 진입했다.</t>
        </is>
      </c>
      <c r="E6" t="inlineStr"/>
      <c r="F6" t="inlineStr">
        <is>
          <t>N</t>
        </is>
      </c>
      <c r="G6" t="inlineStr"/>
      <c r="H6" t="inlineStr"/>
      <c r="I6" t="inlineStr"/>
    </row>
    <row r="7">
      <c r="A7" t="n">
        <v>6</v>
      </c>
      <c r="B7" t="inlineStr">
        <is>
          <t>레드벨벳</t>
        </is>
      </c>
      <c r="C7" t="inlineStr">
        <is>
          <t>loyalty</t>
        </is>
      </c>
      <c r="D7" s="3" t="inlineStr">
        <is>
          <t>'SMTOWN LIVE 2025 in MEXICO CITY'(2025년 5월 9일, Estadio GNP Seguros) 최종 라인업에 레드벨벳(웬디·예리 제외)이 포함되었다고 확정 보도.</t>
        </is>
      </c>
      <c r="E7" t="inlineStr"/>
      <c r="F7" t="inlineStr">
        <is>
          <t>N</t>
        </is>
      </c>
      <c r="G7" t="inlineStr"/>
      <c r="H7" t="inlineStr"/>
      <c r="I7" t="inlineStr"/>
    </row>
    <row r="8">
      <c r="A8" t="n">
        <v>7</v>
      </c>
      <c r="B8" t="inlineStr">
        <is>
          <t>IVE</t>
        </is>
      </c>
      <c r="C8" t="inlineStr">
        <is>
          <t>spillover</t>
        </is>
      </c>
      <c r="D8" s="3" t="inlineStr">
        <is>
          <t>아이브 리즈가 JTBC 주말드라마 '천국보다 아름다운'(김혜자·손석구 주연)의 다섯 번째 OST 트랙 'Heavy Love'를 2026년 5월 18일 발매했다. 웅장한 현악 사운드와 리즈 특유의 맑고 강한 보컬톤으로 사랑의 본질을 표현했다는 평을 받았다.</t>
        </is>
      </c>
      <c r="E8" t="inlineStr"/>
      <c r="F8" t="inlineStr">
        <is>
          <t>N</t>
        </is>
      </c>
      <c r="G8" t="inlineStr"/>
      <c r="H8" t="inlineStr"/>
      <c r="I8" t="inlineStr"/>
    </row>
    <row r="9">
      <c r="A9" t="n">
        <v>8</v>
      </c>
      <c r="B9" t="inlineStr">
        <is>
          <t>sg워너비</t>
        </is>
      </c>
      <c r="C9" t="inlineStr">
        <is>
          <t>spillover</t>
        </is>
      </c>
      <c r="D9" s="3" t="inlineStr">
        <is>
          <t>SG워너비 멤버 채동하는 2007년 KBS 드라마 '인순이는 예쁘다' OST에 솔로곡 '언제까지나'로 참여했다.</t>
        </is>
      </c>
      <c r="E9" t="inlineStr"/>
      <c r="F9" t="inlineStr">
        <is>
          <t>N</t>
        </is>
      </c>
      <c r="G9" t="inlineStr"/>
      <c r="H9" t="inlineStr"/>
      <c r="I9" t="inlineStr"/>
    </row>
    <row r="10">
      <c r="A10" t="n">
        <v>9</v>
      </c>
      <c r="B10" t="inlineStr">
        <is>
          <t>박재범</t>
        </is>
      </c>
      <c r="C10" t="inlineStr">
        <is>
          <t>loyalty</t>
        </is>
      </c>
      <c r="D10" s="3" t="inlineStr">
        <is>
          <t>박재범(Jay Park)의 모스크바 콘서트 홍보 페이지가 러시아 콘서트 기획사 Bright Side Concerts에 개설됨</t>
        </is>
      </c>
      <c r="E10" t="inlineStr"/>
      <c r="F10" t="inlineStr">
        <is>
          <t>N</t>
        </is>
      </c>
      <c r="G10" t="inlineStr"/>
      <c r="H10" t="inlineStr"/>
      <c r="I10" t="inlineStr"/>
    </row>
    <row r="11">
      <c r="A11" t="n">
        <v>10</v>
      </c>
      <c r="B11" t="inlineStr">
        <is>
          <t>이영지</t>
        </is>
      </c>
      <c r="C11" t="inlineStr">
        <is>
          <t>loyalty</t>
        </is>
      </c>
      <c r="D11" s="3" t="inlineStr">
        <is>
          <t>2026년 2월 모바일 게임 '경찰과 도둑'을 통해 팬들과 함께 아동병원에 3억 원을 기부하는 캠페인을 진행, 팬덤과의 협업형 선행이 이루어졌다</t>
        </is>
      </c>
      <c r="E11" t="inlineStr"/>
      <c r="F11" t="inlineStr">
        <is>
          <t>N</t>
        </is>
      </c>
      <c r="G11" t="inlineStr"/>
      <c r="H11" t="inlineStr"/>
      <c r="I11" t="inlineStr"/>
    </row>
    <row r="12">
      <c r="A12" t="n">
        <v>11</v>
      </c>
      <c r="B12" t="inlineStr">
        <is>
          <t>케이윌</t>
        </is>
      </c>
      <c r="C12" t="inlineStr">
        <is>
          <t>spillover</t>
        </is>
      </c>
      <c r="D12" s="3" t="inlineStr">
        <is>
          <t>"러브 119", "이러지마 제발" 등 다수의 음원 1위 곡을 보유해 '음원 킹'으로 불리며 장기간 스트리밍 시장에서 영향력을 발휘해왔다.</t>
        </is>
      </c>
      <c r="E12" t="inlineStr"/>
      <c r="F12" t="inlineStr">
        <is>
          <t>N</t>
        </is>
      </c>
      <c r="G12" t="inlineStr"/>
      <c r="H12" t="inlineStr"/>
      <c r="I12" t="inlineStr"/>
    </row>
    <row r="13">
      <c r="A13" t="n">
        <v>12</v>
      </c>
      <c r="B13" t="inlineStr">
        <is>
          <t>동방신기</t>
        </is>
      </c>
      <c r="C13" t="inlineStr">
        <is>
          <t>loyalty</t>
        </is>
      </c>
      <c r="D13" s="3" t="inlineStr">
        <is>
          <t>'Time' 투어(2013)가 85만 관객을 동원하며 9000만달러의 매출을 올렸다.</t>
        </is>
      </c>
      <c r="E13" t="inlineStr"/>
      <c r="F13" t="inlineStr">
        <is>
          <t>N</t>
        </is>
      </c>
      <c r="G13" t="inlineStr"/>
      <c r="H13" t="inlineStr"/>
      <c r="I13" t="inlineStr"/>
    </row>
    <row r="14">
      <c r="A14" t="n">
        <v>13</v>
      </c>
      <c r="B14" t="inlineStr">
        <is>
          <t>Hearts2Hearts</t>
        </is>
      </c>
      <c r="C14" t="inlineStr">
        <is>
          <t>spillover</t>
        </is>
      </c>
      <c r="D14" s="3" t="inlineStr">
        <is>
          <t>2025년 각종 시상식에서 신인상을 7회 수상했다.</t>
        </is>
      </c>
      <c r="E14" t="inlineStr"/>
      <c r="F14" t="inlineStr">
        <is>
          <t>N</t>
        </is>
      </c>
      <c r="G14" t="inlineStr"/>
      <c r="H14" t="inlineStr"/>
      <c r="I14" t="inlineStr"/>
    </row>
    <row r="15">
      <c r="A15" t="n">
        <v>14</v>
      </c>
      <c r="B15" t="inlineStr">
        <is>
          <t>CNBLUE</t>
        </is>
      </c>
      <c r="C15" t="inlineStr">
        <is>
          <t>spillover</t>
        </is>
      </c>
      <c r="D15" s="3" t="inlineStr">
        <is>
          <t>홍콩 매체 HK01이 CNBLUE의 월드투어 '3LOGY' 홍콩 공연(2026년 5월 16일, 아시아월드엑스포)에 대한 티켓 구매 가이드 기사를 게재했다. 기사는 HKD 880~1,680의 좌석 등급별 가격과 공연장 교통편을 상세히 안내했다.</t>
        </is>
      </c>
      <c r="E15" t="inlineStr"/>
      <c r="F15" t="inlineStr">
        <is>
          <t>N</t>
        </is>
      </c>
      <c r="G15" t="inlineStr"/>
      <c r="H15" t="inlineStr"/>
      <c r="I15" t="inlineStr"/>
    </row>
    <row r="16">
      <c r="A16" t="n">
        <v>15</v>
      </c>
      <c r="B16" t="inlineStr">
        <is>
          <t>ATEEZ</t>
        </is>
      </c>
      <c r="C16" t="inlineStr">
        <is>
          <t>spillover</t>
        </is>
      </c>
      <c r="D16" s="3" t="inlineStr">
        <is>
          <t>러시아어 K팝 전문매체 YesAsia.ru: 예능 프로그램 "The Listen" 시즌6 새 출연진 소식에서 ATEEZ 멤버 종호를 언급: "«The Listen» возвращается с 6 сезоном: Сухо из EXO, Чонхо из ATEEZ, Чу и другие станут новыми участниками"(예능 '더 리슨' 시즌6, EXO 수호·ATEEZ 종호 등이 새 출연진으로 합류) — 2026.09.02 게재, 대중 예능 프로그램 캐스팅을 통한 인지도 확장 근거</t>
        </is>
      </c>
      <c r="E16" t="inlineStr"/>
      <c r="F16" t="inlineStr">
        <is>
          <t>N</t>
        </is>
      </c>
      <c r="G16" t="inlineStr"/>
      <c r="H16" t="inlineStr"/>
      <c r="I16" t="inlineStr"/>
    </row>
    <row r="17">
      <c r="A17" t="n">
        <v>16</v>
      </c>
      <c r="B17" t="inlineStr">
        <is>
          <t>장윤정</t>
        </is>
      </c>
      <c r="C17" t="inlineStr">
        <is>
          <t>loyalty</t>
        </is>
      </c>
      <c r="D17" s="3" t="inlineStr">
        <is>
          <t>장윤정의 공식 팬클럽명은 '레모네이드'이며 공식 응원색은 노란색이다.</t>
        </is>
      </c>
      <c r="E17" t="inlineStr"/>
      <c r="F17" t="inlineStr">
        <is>
          <t>N</t>
        </is>
      </c>
      <c r="G17" t="inlineStr"/>
      <c r="H17" t="inlineStr"/>
      <c r="I17" t="inlineStr"/>
    </row>
    <row r="18">
      <c r="A18" t="n">
        <v>17</v>
      </c>
      <c r="B18" t="inlineStr">
        <is>
          <t>엔믹스</t>
        </is>
      </c>
      <c r="C18" t="inlineStr">
        <is>
          <t>spillover</t>
        </is>
      </c>
      <c r="D18" s="3" t="inlineStr">
        <is>
          <t>엔믹스가 2023년 네이버의 웹브라우저 '네이버 웨일' 배경화면 콜라보레이션에 참여했다.</t>
        </is>
      </c>
      <c r="E18" t="inlineStr"/>
      <c r="F18" t="inlineStr">
        <is>
          <t>N</t>
        </is>
      </c>
      <c r="G18" t="inlineStr"/>
      <c r="H18" t="inlineStr"/>
      <c r="I18" t="inlineStr"/>
    </row>
    <row r="19">
      <c r="A19" t="n">
        <v>18</v>
      </c>
      <c r="B19" t="inlineStr">
        <is>
          <t>BTS</t>
        </is>
      </c>
      <c r="C19" t="inlineStr">
        <is>
          <t>spillover</t>
        </is>
      </c>
      <c r="D19" s="3" t="inlineStr">
        <is>
          <t>BTS는 "Dynamite"(2020), "Savage Love" 리믹스(2020), "Life Goes On"(2020), "Butter"(2021), "Permission to Dance"(2021), "My Universe"(콜드플레이와 협업, 2021)로 빌보드 핫100 1위를 총 6차례 차지했다.</t>
        </is>
      </c>
      <c r="E19" t="inlineStr"/>
      <c r="F19" t="inlineStr">
        <is>
          <t>N</t>
        </is>
      </c>
      <c r="G19" t="inlineStr"/>
      <c r="H19" t="inlineStr"/>
      <c r="I19" t="inlineStr"/>
    </row>
    <row r="20">
      <c r="A20" t="n">
        <v>19</v>
      </c>
      <c r="B20" t="inlineStr">
        <is>
          <t>동방신기</t>
        </is>
      </c>
      <c r="C20" t="inlineStr">
        <is>
          <t>loyalty</t>
        </is>
      </c>
      <c r="D20" s="3" t="inlineStr">
        <is>
          <t>TVXQ held "2023 TVXQ CONCERT '20&amp;2'" (Dec. 30-31, 2023) marking 20 years since debut and their first concert in ~4 years 9 months; fandom Cassiopeia described as "800,000-strong".</t>
        </is>
      </c>
      <c r="E20" t="inlineStr"/>
      <c r="F20" t="inlineStr">
        <is>
          <t>N</t>
        </is>
      </c>
      <c r="G20" t="inlineStr"/>
      <c r="H20" t="inlineStr"/>
      <c r="I20" t="inlineStr"/>
    </row>
    <row r="21">
      <c r="A21" t="n">
        <v>20</v>
      </c>
      <c r="B21" t="inlineStr">
        <is>
          <t>TWICE</t>
        </is>
      </c>
      <c r="C21" t="inlineStr">
        <is>
          <t>spillover</t>
        </is>
      </c>
      <c r="D21" s="3" t="inlineStr">
        <is>
          <t>일본인 멤버 3명으로 구성된 TWICE의 서브유닛 MISAMO는 2023년 12월 31일 제74회 NHK 홍백가합전에 유닛 단독으로 출연해 'Do Not Touch' 무대를 선보였다.</t>
        </is>
      </c>
      <c r="E21" t="inlineStr"/>
      <c r="F21" t="inlineStr">
        <is>
          <t>N</t>
        </is>
      </c>
      <c r="G21" t="inlineStr"/>
      <c r="H21" t="inlineStr"/>
      <c r="I21" t="inlineStr"/>
    </row>
    <row r="22">
      <c r="A22" t="n">
        <v>21</v>
      </c>
      <c r="B22" t="inlineStr">
        <is>
          <t>IVE</t>
        </is>
      </c>
      <c r="C22" t="inlineStr">
        <is>
          <t>loyalty</t>
        </is>
      </c>
      <c r="D22" s="3" t="inlineStr">
        <is>
          <t>IVE's debut solo tour "The Prom Queens" (Feb–July 2023) covered 12 stops across Korea, Japan, Southeast Asia, and Taiwan, drawing 97,000 total attendance.</t>
        </is>
      </c>
      <c r="E22" t="inlineStr"/>
      <c r="F22" t="inlineStr">
        <is>
          <t>N</t>
        </is>
      </c>
      <c r="G22" t="inlineStr"/>
      <c r="H22" t="inlineStr"/>
      <c r="I22" t="inlineStr"/>
    </row>
    <row r="23">
      <c r="A23" t="n">
        <v>22</v>
      </c>
      <c r="B23" t="inlineStr">
        <is>
          <t>IVE</t>
        </is>
      </c>
      <c r="C23" t="inlineStr">
        <is>
          <t>loyalty</t>
        </is>
      </c>
      <c r="D23" s="3" t="inlineStr">
        <is>
          <t>팬클럽명은 DIVE(다이브)이며, 나무위키 아이브 문서에도 공식 팬덤명으로 명시되어 있다.</t>
        </is>
      </c>
      <c r="E23" t="inlineStr"/>
      <c r="F23" t="inlineStr">
        <is>
          <t>N</t>
        </is>
      </c>
      <c r="G23" t="inlineStr"/>
      <c r="H23" t="inlineStr"/>
      <c r="I23" t="inlineStr"/>
    </row>
    <row r="24">
      <c r="A24" t="n">
        <v>23</v>
      </c>
      <c r="B24" t="inlineStr">
        <is>
          <t>이찬원</t>
        </is>
      </c>
      <c r="C24" t="inlineStr">
        <is>
          <t>spillover</t>
        </is>
      </c>
      <c r="D24" s="3" t="inlineStr">
        <is>
          <t>이찬원은 첫 단독 콘서트 "찬스타임"으로 전국 9개 도시에서 27회 투어 공연을 개최했다</t>
        </is>
      </c>
      <c r="E24" t="inlineStr"/>
      <c r="F24" t="inlineStr">
        <is>
          <t>N</t>
        </is>
      </c>
      <c r="G24" t="inlineStr"/>
      <c r="H24" t="inlineStr"/>
      <c r="I24" t="inlineStr"/>
    </row>
    <row r="25">
      <c r="A25" t="n">
        <v>24</v>
      </c>
      <c r="B25" t="inlineStr">
        <is>
          <t>엄정화</t>
        </is>
      </c>
      <c r="C25" t="inlineStr">
        <is>
          <t>spillover</t>
        </is>
      </c>
      <c r="D25" s="3" t="inlineStr">
        <is>
          <t>엄정화는 2003년 한국야구위원회(KBO) 프로야구 홍보대사로 활동했다.</t>
        </is>
      </c>
      <c r="E25" t="inlineStr"/>
      <c r="F25" t="inlineStr">
        <is>
          <t>N</t>
        </is>
      </c>
      <c r="G25" t="inlineStr"/>
      <c r="H25" t="inlineStr"/>
      <c r="I25" t="inlineStr"/>
    </row>
    <row r="26">
      <c r="A26" t="n">
        <v>25</v>
      </c>
      <c r="B26" t="inlineStr">
        <is>
          <t>최예나</t>
        </is>
      </c>
      <c r="C26" t="inlineStr">
        <is>
          <t>spillover</t>
        </is>
      </c>
      <c r="D26" s="3" t="inlineStr">
        <is>
          <t>화장품 브랜드 '피노(PINO)'의 국내 론칭과 함께 브랜드 앰버서더로 발탁됐다.</t>
        </is>
      </c>
      <c r="E26" t="inlineStr"/>
      <c r="F26" t="inlineStr">
        <is>
          <t>N</t>
        </is>
      </c>
      <c r="G26" t="inlineStr"/>
      <c r="H26" t="inlineStr"/>
      <c r="I26" t="inlineStr"/>
    </row>
    <row r="27">
      <c r="A27" t="n">
        <v>26</v>
      </c>
      <c r="B27" t="inlineStr">
        <is>
          <t>브라운아이즈</t>
        </is>
      </c>
      <c r="C27" t="inlineStr">
        <is>
          <t>spillover</t>
        </is>
      </c>
      <c r="D27" s="3" t="inlineStr">
        <is>
          <t>나얼이 2017년 11월 발표한 신곡 'Emptiness in Memory'가 멜론·지니·엠넷 등 한국 6대 음원사이트 실시간·일간 차트에서 모두 1위를 차지하는 퍼펙트 올킬을 달성했다고 Soompi가 보도했다.</t>
        </is>
      </c>
      <c r="E27" t="inlineStr"/>
      <c r="F27" t="inlineStr">
        <is>
          <t>N</t>
        </is>
      </c>
      <c r="G27" t="inlineStr"/>
      <c r="H27" t="inlineStr"/>
      <c r="I27" t="inlineStr"/>
    </row>
    <row r="28">
      <c r="A28" t="n">
        <v>27</v>
      </c>
      <c r="B28" t="inlineStr">
        <is>
          <t>RIIZE</t>
        </is>
      </c>
      <c r="C28" t="inlineStr">
        <is>
          <t>loyalty</t>
        </is>
      </c>
      <c r="D28" s="3" t="inlineStr">
        <is>
          <t>RIIZE held an Aug 26, 2026 release showcase at Zepp Namba, Osaka for Japanese single "Sunburst," selecting 1,000 attendees by lottery among CD pre-order purchasers, with the show simulcast on YouTube</t>
        </is>
      </c>
      <c r="E28" t="inlineStr"/>
      <c r="F28" t="inlineStr">
        <is>
          <t>N</t>
        </is>
      </c>
      <c r="G28" t="inlineStr"/>
      <c r="H28" t="inlineStr"/>
      <c r="I28" t="inlineStr"/>
    </row>
    <row r="29">
      <c r="A29" t="n">
        <v>28</v>
      </c>
      <c r="B29" t="inlineStr">
        <is>
          <t>ATEEZ</t>
        </is>
      </c>
      <c r="C29" t="inlineStr">
        <is>
          <t>spillover</t>
        </is>
      </c>
      <c r="D29" s="3" t="inlineStr">
        <is>
          <t>에이티즈가 8월 8~9일 이틀간 열리는 '2026 SBS Gayo Daejeon Summer' 라인업에 확정됐다고 소속사 공식 플랫폼을 통해 공지됐다.</t>
        </is>
      </c>
      <c r="E29" t="inlineStr"/>
      <c r="F29" t="inlineStr">
        <is>
          <t>N</t>
        </is>
      </c>
      <c r="G29" t="inlineStr"/>
      <c r="H29" t="inlineStr"/>
      <c r="I29" t="inlineStr"/>
    </row>
    <row r="30">
      <c r="A30" t="n">
        <v>29</v>
      </c>
      <c r="B30" t="inlineStr">
        <is>
          <t>김호중</t>
        </is>
      </c>
      <c r="C30" t="inlineStr">
        <is>
          <t>loyalty</t>
        </is>
      </c>
      <c r="D30" s="3" t="inlineStr">
        <is>
          <t>김호중 팬클럽 '아리스'가 100억원 기부를 진행했는데 이 중 75억원은 앨범 구매를 통한 기부 형태였다는 점이 보도돼, 앨범 소비 자체가 팬덤의 기부·결속 행위로 직결됐음을 보여준다</t>
        </is>
      </c>
      <c r="E30" t="inlineStr"/>
      <c r="F30" t="inlineStr">
        <is>
          <t>N</t>
        </is>
      </c>
      <c r="G30" t="inlineStr"/>
      <c r="H30" t="inlineStr"/>
      <c r="I30" t="inlineStr"/>
    </row>
    <row r="31">
      <c r="A31" t="n">
        <v>30</v>
      </c>
      <c r="B31" t="inlineStr">
        <is>
          <t>악동뮤지션</t>
        </is>
      </c>
      <c r="C31" t="inlineStr">
        <is>
          <t>spillover</t>
        </is>
      </c>
      <c r="D31" s="3" t="inlineStr">
        <is>
          <t>2025년 그랜드 민트 페스티벌(GMF) 첫날 메인 무대 헤드라이너로 오른 악동뮤지션은 'DINOSAUR', '오랜 날 오랜 밤' 등으로 60분 넘게 무대를 채워 '가장 주목받은 무대'라는 평가를 받았다.</t>
        </is>
      </c>
      <c r="E31" t="inlineStr"/>
      <c r="F31" t="inlineStr">
        <is>
          <t>N</t>
        </is>
      </c>
      <c r="G31" t="inlineStr"/>
      <c r="H31" t="inlineStr"/>
      <c r="I31" t="inlineStr"/>
    </row>
    <row r="32">
      <c r="A32" t="n">
        <v>31</v>
      </c>
      <c r="B32" t="inlineStr">
        <is>
          <t>레드벨벳</t>
        </is>
      </c>
      <c r="C32" t="inlineStr">
        <is>
          <t>loyalty</t>
        </is>
      </c>
      <c r="D32" s="3" t="inlineStr">
        <is>
          <t>레드벨벳은 'R to V' 월드투어에서 요코하마(일본), 마닐라(필리핀), 방콕(태국), 자카르타(인도네시아) 등 아시아 각지 팬들과 만났다</t>
        </is>
      </c>
      <c r="E32" t="inlineStr"/>
      <c r="F32" t="inlineStr">
        <is>
          <t>N</t>
        </is>
      </c>
      <c r="G32" t="inlineStr"/>
      <c r="H32" t="inlineStr"/>
      <c r="I32" t="inlineStr"/>
    </row>
    <row r="33">
      <c r="A33" t="n">
        <v>32</v>
      </c>
      <c r="B33" t="inlineStr">
        <is>
          <t>LE SSERAFIM</t>
        </is>
      </c>
      <c r="C33" t="inlineStr">
        <is>
          <t>loyalty</t>
        </is>
      </c>
      <c r="D33" s="3" t="inlineStr">
        <is>
          <t>미니 2집 'Fearless'가 예약판매 7일 만에 27만 장, 16일 만에 38만 장을 기록했다</t>
        </is>
      </c>
      <c r="E33" t="inlineStr"/>
      <c r="F33" t="inlineStr">
        <is>
          <t>N</t>
        </is>
      </c>
      <c r="G33" t="inlineStr"/>
      <c r="H33" t="inlineStr"/>
      <c r="I33" t="inlineStr"/>
    </row>
    <row r="34">
      <c r="A34" t="n">
        <v>33</v>
      </c>
      <c r="B34" t="inlineStr">
        <is>
          <t>10CM</t>
        </is>
      </c>
      <c r="C34" t="inlineStr">
        <is>
          <t>loyalty</t>
        </is>
      </c>
      <c r="D34" s="3" t="inlineStr">
        <is>
          <t>1집 '1.0'이 2011년 2월 15일 발매 후 1주일 만에 1만 장 이상 판매되며 당시 인디밴드 최고 기록을 세웠다</t>
        </is>
      </c>
      <c r="E34" t="inlineStr"/>
      <c r="F34" t="inlineStr">
        <is>
          <t>N</t>
        </is>
      </c>
      <c r="G34" t="inlineStr"/>
      <c r="H34" t="inlineStr"/>
      <c r="I34" t="inlineStr"/>
    </row>
    <row r="35">
      <c r="A35" t="n">
        <v>34</v>
      </c>
      <c r="B35" t="inlineStr">
        <is>
          <t>엔믹스</t>
        </is>
      </c>
      <c r="C35" t="inlineStr">
        <is>
          <t>spillover</t>
        </is>
      </c>
      <c r="D35" s="3" t="inlineStr">
        <is>
          <t>대학축제 공연 중 반주가 끊기는 음향 사고가 났음에도 멤버들이 춤과 가창을 이어가자 관객들이 뜨거운 박수와 환호성으로 응답, '흔들림 없는 라이브'라는 호평이 이어졌다는 기사.</t>
        </is>
      </c>
      <c r="E35" t="inlineStr"/>
      <c r="F35" t="inlineStr">
        <is>
          <t>N</t>
        </is>
      </c>
      <c r="G35" t="inlineStr"/>
      <c r="H35" t="inlineStr"/>
      <c r="I35" t="inlineStr"/>
    </row>
    <row r="36">
      <c r="A36" t="n">
        <v>35</v>
      </c>
      <c r="B36" t="inlineStr">
        <is>
          <t>나훈아</t>
        </is>
      </c>
      <c r="C36" t="inlineStr">
        <is>
          <t>spillover</t>
        </is>
      </c>
      <c r="D36" s="3" t="inlineStr">
        <is>
          <t>나훈아의 2020년 9월 30일 KBS2 '2020 한가위 대기획 대한민국 어게인 나훈아'는 15년 만의 방송 출연으로, 실시간 시청률 41.44%, 올레TV 점유율 70% 이상을 기록했다.</t>
        </is>
      </c>
      <c r="E36" t="inlineStr"/>
      <c r="F36" t="inlineStr">
        <is>
          <t>N</t>
        </is>
      </c>
      <c r="G36" t="inlineStr"/>
      <c r="H36" t="inlineStr"/>
      <c r="I36" t="inlineStr"/>
    </row>
    <row r="37">
      <c r="A37" t="n">
        <v>36</v>
      </c>
      <c r="B37" t="inlineStr">
        <is>
          <t>Zion.T</t>
        </is>
      </c>
      <c r="C37" t="inlineStr">
        <is>
          <t>spillover</t>
        </is>
      </c>
      <c r="D37" s="3" t="inlineStr">
        <is>
          <t>2018년 3월 뉴욕·댈러스·산호세·LA·토론토·밴쿠버 등 미국·캐나다(북미) 6개 도시를 순회하는 단독 투어를 진행함</t>
        </is>
      </c>
      <c r="E37" t="inlineStr"/>
      <c r="F37" t="inlineStr">
        <is>
          <t>N</t>
        </is>
      </c>
      <c r="G37" t="inlineStr"/>
      <c r="H37" t="inlineStr"/>
      <c r="I37" t="inlineStr"/>
    </row>
    <row r="38">
      <c r="A38" t="n">
        <v>37</v>
      </c>
      <c r="B38" t="inlineStr">
        <is>
          <t>CORTIS</t>
        </is>
      </c>
      <c r="C38" t="inlineStr">
        <is>
          <t>spillover</t>
        </is>
      </c>
      <c r="D38" s="3" t="inlineStr">
        <is>
          <t>스킨케어 브랜드 토리든이 코르티스를 전속모델로 기획한 상품이 판매 시작 10분 만에 품절됐다고 스타뉴스가 보도했다.</t>
        </is>
      </c>
      <c r="E38" t="inlineStr"/>
      <c r="F38" t="inlineStr">
        <is>
          <t>N</t>
        </is>
      </c>
      <c r="G38" t="inlineStr"/>
      <c r="H38" t="inlineStr"/>
      <c r="I38" t="inlineStr"/>
    </row>
    <row r="39">
      <c r="A39" t="n">
        <v>38</v>
      </c>
      <c r="B39" t="inlineStr">
        <is>
          <t>TWICE</t>
        </is>
      </c>
      <c r="C39" t="inlineStr">
        <is>
          <t>spillover</t>
        </is>
      </c>
      <c r="D39" s="3" t="inlineStr">
        <is>
          <t>스페인 음악매체 Rockdelux가 트와이스의 2026년 5월 12일 바르셀로나 팔라우 산트 조르디 공연을 스페인 첫 콘서트로 평론했다고 보도했다.</t>
        </is>
      </c>
      <c r="E39" t="inlineStr"/>
      <c r="F39" t="inlineStr">
        <is>
          <t>N</t>
        </is>
      </c>
      <c r="G39" t="inlineStr"/>
      <c r="H39" t="inlineStr"/>
      <c r="I39" t="inlineStr"/>
    </row>
    <row r="40">
      <c r="A40" t="n">
        <v>39</v>
      </c>
      <c r="B40" t="inlineStr">
        <is>
          <t>악동뮤지션</t>
        </is>
      </c>
      <c r="C40" t="inlineStr">
        <is>
          <t>spillover</t>
        </is>
      </c>
      <c r="D40" s="3" t="inlineStr">
        <is>
          <t>2026년 4월 인스티즈 차트에서 Hearts2Hearts와 함께 4월 3주·4주 연속 정상을 차지했다.</t>
        </is>
      </c>
      <c r="E40" t="inlineStr"/>
      <c r="F40" t="inlineStr">
        <is>
          <t>N</t>
        </is>
      </c>
      <c r="G40" t="inlineStr"/>
      <c r="H40" t="inlineStr"/>
      <c r="I40" t="inlineStr"/>
    </row>
    <row r="41">
      <c r="A41" t="n">
        <v>40</v>
      </c>
      <c r="B41" t="inlineStr">
        <is>
          <t>오마이걸</t>
        </is>
      </c>
      <c r="C41" t="inlineStr">
        <is>
          <t>loyalty</t>
        </is>
      </c>
      <c r="D41" s="3" t="inlineStr">
        <is>
          <t>오마이걸 공식 팬클럽 미라클은 2017년 4월 데뷔 2주년을 기념해 한국백혈병어린이재단을 통해 소아암 치료 중인 어린이를 지원하는 성금을 기부했다.</t>
        </is>
      </c>
      <c r="E41" t="inlineStr"/>
      <c r="F41" t="inlineStr">
        <is>
          <t>N</t>
        </is>
      </c>
      <c r="G41" t="inlineStr"/>
      <c r="H41" t="inlineStr"/>
      <c r="I41" t="inlineStr"/>
    </row>
    <row r="42">
      <c r="A42" t="n">
        <v>41</v>
      </c>
      <c r="B42" t="inlineStr">
        <is>
          <t>IVE</t>
        </is>
      </c>
      <c r="C42" t="inlineStr">
        <is>
          <t>spillover</t>
        </is>
      </c>
      <c r="D42" s="3" t="inlineStr">
        <is>
          <t>Infobae covered the release of IVE's third EP "Ive Empathy," including lead singles "Rebel Heart" and "Attitude"</t>
        </is>
      </c>
      <c r="E42" t="inlineStr"/>
      <c r="F42" t="inlineStr">
        <is>
          <t>N</t>
        </is>
      </c>
      <c r="G42" t="inlineStr"/>
      <c r="H42" t="inlineStr"/>
      <c r="I42" t="inlineStr"/>
    </row>
    <row r="43">
      <c r="A43" t="n">
        <v>42</v>
      </c>
      <c r="B43" t="inlineStr">
        <is>
          <t>소녀시대</t>
        </is>
      </c>
      <c r="C43" t="inlineStr">
        <is>
          <t>loyalty</t>
        </is>
      </c>
      <c r="D43" s="3" t="inlineStr">
        <is>
          <t>"在少女時代演唱會時也給予了很多帥氣的應援活動" — 태연 인터뷰 기사에서 SONE(팬덤)이 콘서트에서 보여준 응원 활동을 "센스있다(SONE非常有Sense)"고 평가</t>
        </is>
      </c>
      <c r="E43" t="inlineStr"/>
      <c r="F43" t="inlineStr">
        <is>
          <t>N</t>
        </is>
      </c>
      <c r="G43" t="inlineStr"/>
      <c r="H43" t="inlineStr"/>
      <c r="I43" t="inlineStr"/>
    </row>
    <row r="44">
      <c r="A44" s="4" t="n">
        <v>43</v>
      </c>
      <c r="B44" s="4" t="inlineStr">
        <is>
          <t>송가인</t>
        </is>
      </c>
      <c r="C44" s="4" t="inlineStr">
        <is>
          <t>spillover</t>
        </is>
      </c>
      <c r="D44" s="5" t="inlineStr">
        <is>
          <t>송가인이 경상북도 봉화군 내성천 체육공원에서 열린 제29회 봉화송이축제 폐막식(2025년 10월 19일)에 출연해 가을밤 무대를 장식했다.</t>
        </is>
      </c>
      <c r="E44" s="4" t="inlineStr"/>
      <c r="F44" s="4" t="inlineStr">
        <is>
          <t>Y</t>
        </is>
      </c>
      <c r="G44" s="4" t="inlineStr">
        <is>
          <t>경상북도 봉화군 — '경북' 약칭만 사전, 봉화 없음</t>
        </is>
      </c>
      <c r="H44" s="4" t="inlineStr"/>
      <c r="I44" s="4" t="inlineStr"/>
    </row>
    <row r="45">
      <c r="A45" t="n">
        <v>44</v>
      </c>
      <c r="B45" t="inlineStr">
        <is>
          <t>싸이</t>
        </is>
      </c>
      <c r="C45" t="inlineStr">
        <is>
          <t>loyalty</t>
        </is>
      </c>
      <c r="D45" s="3" t="inlineStr">
        <is>
          <t>태국 mgronline.com은 싸이가 말춤을 선보이며 태국 팬들의 지지에 감사를 표하고 재방문 의사를 밝힌 현장을 보도했다</t>
        </is>
      </c>
      <c r="E45" t="inlineStr"/>
      <c r="F45" t="inlineStr">
        <is>
          <t>N</t>
        </is>
      </c>
      <c r="G45" t="inlineStr"/>
      <c r="H45" t="inlineStr"/>
      <c r="I45" t="inlineStr"/>
    </row>
    <row r="46">
      <c r="A46" t="n">
        <v>45</v>
      </c>
      <c r="B46" t="inlineStr">
        <is>
          <t>여자친구</t>
        </is>
      </c>
      <c r="C46" t="inlineStr">
        <is>
          <t>loyalty</t>
        </is>
      </c>
      <c r="D46" s="3" t="inlineStr">
        <is>
          <t>Natalie (natalie.mu), Japan's major music/culture news site, covered the release of GFriend's second Japanese photobook "CHOICE," a fan-merchandise item aimed at the group's dedicated Japanese fanbase.</t>
        </is>
      </c>
      <c r="E46" t="inlineStr"/>
      <c r="F46" t="inlineStr">
        <is>
          <t>N</t>
        </is>
      </c>
      <c r="G46" t="inlineStr"/>
      <c r="H46" t="inlineStr"/>
      <c r="I46" t="inlineStr"/>
    </row>
    <row r="47">
      <c r="A47" t="n">
        <v>46</v>
      </c>
      <c r="B47" t="inlineStr">
        <is>
          <t>박재범</t>
        </is>
      </c>
      <c r="C47" t="inlineStr">
        <is>
          <t>loyalty</t>
        </is>
      </c>
      <c r="D47" s="3" t="inlineStr">
        <is>
          <t>Jay Park 팬미트 파티 티켓 9월7일 판매 개시</t>
        </is>
      </c>
      <c r="E47" t="inlineStr"/>
      <c r="F47" t="inlineStr">
        <is>
          <t>N</t>
        </is>
      </c>
      <c r="G47" t="inlineStr"/>
      <c r="H47" t="inlineStr"/>
      <c r="I47" t="inlineStr"/>
    </row>
    <row r="48">
      <c r="A48" t="n">
        <v>47</v>
      </c>
      <c r="B48" t="inlineStr">
        <is>
          <t>에픽하이</t>
        </is>
      </c>
      <c r="C48" t="inlineStr">
        <is>
          <t>spillover</t>
        </is>
      </c>
      <c r="D48" s="3" t="inlineStr">
        <is>
          <t>리더 타블로가 CNN 브라질과 인터뷰하며 케이팝 아이돌들의 참고 대상이 되는 소감을 밝힘</t>
        </is>
      </c>
      <c r="E48" t="inlineStr"/>
      <c r="F48" t="inlineStr">
        <is>
          <t>N</t>
        </is>
      </c>
      <c r="G48" t="inlineStr"/>
      <c r="H48" t="inlineStr"/>
      <c r="I48" t="inlineStr"/>
    </row>
    <row r="49">
      <c r="A49" t="n">
        <v>48</v>
      </c>
      <c r="B49" t="inlineStr">
        <is>
          <t>권은비</t>
        </is>
      </c>
      <c r="C49" t="inlineStr">
        <is>
          <t>spillover</t>
        </is>
      </c>
      <c r="D49" s="3" t="inlineStr">
        <is>
          <t>Sang her first drama OST, a remake of Lee Seung-hwan's "세상에 뿌려진 사랑만큼," marking a "OST 퀸" crossover moment beyond music/festival work</t>
        </is>
      </c>
      <c r="E49" t="inlineStr"/>
      <c r="F49" t="inlineStr">
        <is>
          <t>N</t>
        </is>
      </c>
      <c r="G49" t="inlineStr"/>
      <c r="H49" t="inlineStr"/>
      <c r="I49" t="inlineStr"/>
    </row>
    <row r="50">
      <c r="A50" t="n">
        <v>49</v>
      </c>
      <c r="B50" t="inlineStr">
        <is>
          <t>슈퍼주니어</t>
        </is>
      </c>
      <c r="C50" t="inlineStr">
        <is>
          <t>spillover</t>
        </is>
      </c>
      <c r="D50" s="3" t="inlineStr">
        <is>
          <t>슈퍼주니어 최시원은 2024년 드라마 'DNA러버'에서 심연우 역 주연을 맡았고 영화 '동화지만 청불입니다'(정석 역), '로비'(마태수 역)에도 출연했으며, 현재 유니세프 한국위원회 특별대표와 마약퇴치운동본부 고문으로 활동 중이다.</t>
        </is>
      </c>
      <c r="E50" t="inlineStr"/>
      <c r="F50" t="inlineStr">
        <is>
          <t>N</t>
        </is>
      </c>
      <c r="G50" t="inlineStr"/>
      <c r="H50" t="inlineStr"/>
      <c r="I50" t="inlineStr"/>
    </row>
    <row r="51">
      <c r="A51" t="n">
        <v>50</v>
      </c>
      <c r="B51" t="inlineStr">
        <is>
          <t>싸이</t>
        </is>
      </c>
      <c r="C51" t="inlineStr">
        <is>
          <t>spillover</t>
        </is>
      </c>
      <c r="D51" s="3" t="inlineStr">
        <is>
          <t>하이트진로가 2012년 11월 싸이를 소주 '참이슬'과 맥주 '드라이피니시d' 광고 모델로 동시에 발탁해, 한 모델이 소주와 맥주 광고를 함께 맡는 업계의 이례적인 계약을 성사시켰다.</t>
        </is>
      </c>
      <c r="E51" t="inlineStr"/>
      <c r="F51" t="inlineStr">
        <is>
          <t>N</t>
        </is>
      </c>
      <c r="G51" t="inlineStr"/>
      <c r="H51" t="inlineStr"/>
      <c r="I51" t="inlineStr"/>
    </row>
    <row r="52">
      <c r="A52" s="4" t="n">
        <v>51</v>
      </c>
      <c r="B52" s="4" t="inlineStr">
        <is>
          <t>투어스(TWS)</t>
        </is>
      </c>
      <c r="C52" s="4" t="inlineStr">
        <is>
          <t>loyalty</t>
        </is>
      </c>
      <c r="D52" s="5" t="inlineStr">
        <is>
          <t>TWS held their first official fan meeting, '42:Club' in Seoul, February 14–16, 2025 at Seoul Olympic Park's Handball Gymnasium; advance reservations for all three sessions sold out at high speed.</t>
        </is>
      </c>
      <c r="E52" s="4" t="inlineStr"/>
      <c r="F52" s="4" t="inlineStr">
        <is>
          <t>Y</t>
        </is>
      </c>
      <c r="G52" s="4" t="inlineStr">
        <is>
          <t>Seoul Olympic Park (영문 지명)</t>
        </is>
      </c>
      <c r="H52" s="4" t="inlineStr"/>
      <c r="I52" s="4" t="inlineStr"/>
    </row>
    <row r="53">
      <c r="A53" t="n">
        <v>52</v>
      </c>
      <c r="B53" t="inlineStr">
        <is>
          <t>CORTIS</t>
        </is>
      </c>
      <c r="C53" t="inlineStr">
        <is>
          <t>loyalty</t>
        </is>
      </c>
      <c r="D53" s="3" t="inlineStr">
        <is>
          <t>2번째 EP 'GreenGreen'은 초동 판매량 약 231만 장을 기록해 데뷔작 대비 약 5배 성장했으며, 빌보드 200 3위에 진입했다.</t>
        </is>
      </c>
      <c r="E53" t="inlineStr"/>
      <c r="F53" t="inlineStr">
        <is>
          <t>N</t>
        </is>
      </c>
      <c r="G53" t="inlineStr"/>
      <c r="H53" t="inlineStr"/>
      <c r="I53" t="inlineStr"/>
    </row>
    <row r="54">
      <c r="A54" t="n">
        <v>53</v>
      </c>
      <c r="B54" t="inlineStr">
        <is>
          <t>린</t>
        </is>
      </c>
      <c r="C54" t="inlineStr">
        <is>
          <t>spillover</t>
        </is>
      </c>
      <c r="D54" s="3" t="inlineStr">
        <is>
          <t>린은 2024년 11월부터 2025년 2월까지 방영된 '현역가왕2'에서 심사위원으로 활동했다.</t>
        </is>
      </c>
      <c r="E54" t="inlineStr"/>
      <c r="F54" t="inlineStr">
        <is>
          <t>N</t>
        </is>
      </c>
      <c r="G54" t="inlineStr"/>
      <c r="H54" t="inlineStr"/>
      <c r="I54" t="inlineStr"/>
    </row>
    <row r="55">
      <c r="A55" t="n">
        <v>54</v>
      </c>
      <c r="B55" t="inlineStr">
        <is>
          <t>BLACKPINK</t>
        </is>
      </c>
      <c r="C55" t="inlineStr">
        <is>
          <t>spillover</t>
        </is>
      </c>
      <c r="D55" s="3" t="inlineStr">
        <is>
          <t>페루 매체 La República가 블랙핑크가 2023년 4월 26~27일 멕시코시티 포로 솔에서 공연하며 한국 걸그룹 최고 흥행 투어 기록을 세웠다고 보도했다.</t>
        </is>
      </c>
      <c r="E55" t="inlineStr"/>
      <c r="F55" t="inlineStr">
        <is>
          <t>N</t>
        </is>
      </c>
      <c r="G55" t="inlineStr"/>
      <c r="H55" t="inlineStr"/>
      <c r="I55" t="inlineStr"/>
    </row>
    <row r="56">
      <c r="A56" t="n">
        <v>55</v>
      </c>
      <c r="B56" t="inlineStr">
        <is>
          <t>엔믹스</t>
        </is>
      </c>
      <c r="C56" t="inlineStr">
        <is>
          <t>spillover</t>
        </is>
      </c>
      <c r="D56" s="3" t="inlineStr">
        <is>
          <t>2025년 패션 브랜드 게스(GUESS)의 아시아 앰버서더로 멤버 전원이 계약을 맺었다.</t>
        </is>
      </c>
      <c r="E56" t="inlineStr"/>
      <c r="F56" t="inlineStr">
        <is>
          <t>N</t>
        </is>
      </c>
      <c r="G56" t="inlineStr"/>
      <c r="H56" t="inlineStr"/>
      <c r="I56" t="inlineStr"/>
    </row>
    <row r="57">
      <c r="A57" t="n">
        <v>56</v>
      </c>
      <c r="B57" t="inlineStr">
        <is>
          <t>아이유</t>
        </is>
      </c>
      <c r="C57" t="inlineStr">
        <is>
          <t>spillover</t>
        </is>
      </c>
      <c r="D57" s="3" t="inlineStr">
        <is>
          <t>아이유가 2026년 9월 4일 0시 공식 SNS를 통해 새 디지털 싱글의 레트로 콘셉트 티저 영상을 공개했고, 9월 10일 오후 6시 발매 예정이라는 소식이 다수 매체를 통해 보도되었다.</t>
        </is>
      </c>
      <c r="E57" t="inlineStr"/>
      <c r="F57" t="inlineStr">
        <is>
          <t>N</t>
        </is>
      </c>
      <c r="G57" t="inlineStr"/>
      <c r="H57" t="inlineStr"/>
      <c r="I57" t="inlineStr"/>
    </row>
    <row r="58">
      <c r="A58" t="n">
        <v>57</v>
      </c>
      <c r="B58" t="inlineStr">
        <is>
          <t>이찬원</t>
        </is>
      </c>
      <c r="C58" t="inlineStr">
        <is>
          <t>loyalty</t>
        </is>
      </c>
      <c r="D58" s="3" t="inlineStr">
        <is>
          <t>Lee Chan-won personally donated 100 million won to the Love of Sharing Social Welfare Community Chest on Nov 29, 2024, becoming an Honor Society member (100M+ won donor club), explicitly citing his fan club's charitable activity as his motivation ("to add warmth to match the club's good deeds")</t>
        </is>
      </c>
      <c r="E58" t="inlineStr"/>
      <c r="F58" t="inlineStr">
        <is>
          <t>N</t>
        </is>
      </c>
      <c r="G58" t="inlineStr"/>
      <c r="H58" t="inlineStr"/>
      <c r="I58" t="inlineStr"/>
    </row>
    <row r="59">
      <c r="A59" t="n">
        <v>58</v>
      </c>
      <c r="B59" t="inlineStr">
        <is>
          <t>오마이걸</t>
        </is>
      </c>
      <c r="C59" t="inlineStr">
        <is>
          <t>spillover</t>
        </is>
      </c>
      <c r="D59" s="3" t="inlineStr">
        <is>
          <t>Japan debut album sold 9,383 physical copies on Oricon Daily, 15,910 units on the Oricon Weekly Chart, and 20,041 units on Billboard Japan Top Albums Sales</t>
        </is>
      </c>
      <c r="E59" t="inlineStr"/>
      <c r="F59" t="inlineStr">
        <is>
          <t>N</t>
        </is>
      </c>
      <c r="G59" t="inlineStr"/>
      <c r="H59" t="inlineStr"/>
      <c r="I59" t="inlineStr"/>
    </row>
    <row r="60">
      <c r="A60" t="n">
        <v>59</v>
      </c>
      <c r="B60" t="inlineStr">
        <is>
          <t>DAY6</t>
        </is>
      </c>
      <c r="C60" t="inlineStr">
        <is>
          <t>loyalty</t>
        </is>
      </c>
      <c r="D60" s="3" t="inlineStr">
        <is>
          <t>2025년 'Forever Young' 마닐라 콘서트를 마치며 '너희들 정말 대단했다'고 밝힘</t>
        </is>
      </c>
      <c r="E60" t="inlineStr"/>
      <c r="F60" t="inlineStr">
        <is>
          <t>N</t>
        </is>
      </c>
      <c r="G60" t="inlineStr"/>
      <c r="H60" t="inlineStr"/>
      <c r="I60" t="inlineStr"/>
    </row>
    <row r="61">
      <c r="A61" t="n">
        <v>60</v>
      </c>
      <c r="B61" t="inlineStr">
        <is>
          <t>청하</t>
        </is>
      </c>
      <c r="C61" t="inlineStr">
        <is>
          <t>spillover</t>
        </is>
      </c>
      <c r="D61" s="3" t="inlineStr">
        <is>
          <t>청하는 2019년 tvN 드라마 '호텔 델루나' OST Part.6에 수록곡 '그 끝에 그대(At the End)'를 불렀으며, 이 곡은 'Hotel Del Luna OST Part.6' 싱글로 Spotify에 정식 등재되어 있다.</t>
        </is>
      </c>
      <c r="E61" t="inlineStr"/>
      <c r="F61" t="inlineStr">
        <is>
          <t>N</t>
        </is>
      </c>
      <c r="G61" t="inlineStr"/>
      <c r="H61" t="inlineStr"/>
      <c r="I61" t="inlineStr"/>
    </row>
    <row r="62">
      <c r="A62" t="n">
        <v>61</v>
      </c>
      <c r="B62" t="inlineStr">
        <is>
          <t>NCT</t>
        </is>
      </c>
      <c r="C62" t="inlineStr">
        <is>
          <t>loyalty</t>
        </is>
      </c>
      <c r="D62" s="3" t="inlineStr">
        <is>
          <t>중국 포털 360엔터(360娱乐)에 웨이신V(威神V, WayV) 멤버 샤오쥔(肖德俊, Xiaojun)이 한국 SBS M 음악방송 《THE SHOW》의 새 MC로 발탁됐다는 소식이 실렸고, 웨이보 해시태그 "#肖俊将担任THESHOWMC#"(샤오쥔, THE SHOW MC 맡는다)가 화제가 되어 팬들이 "祝贺肖俊"(샤오쥔 축하해), "期待MC肖俊"(MC 샤오쥔 기대돼) 등의 댓글을 남겼다고 전했다.</t>
        </is>
      </c>
      <c r="E62" t="inlineStr"/>
      <c r="F62" t="inlineStr">
        <is>
          <t>N</t>
        </is>
      </c>
      <c r="G62" t="inlineStr"/>
      <c r="H62" t="inlineStr"/>
      <c r="I62" t="inlineStr"/>
    </row>
    <row r="63">
      <c r="A63" t="n">
        <v>62</v>
      </c>
      <c r="B63" t="inlineStr">
        <is>
          <t>최예나</t>
        </is>
      </c>
      <c r="C63" t="inlineStr">
        <is>
          <t>loyalty</t>
        </is>
      </c>
      <c r="D63" s="3" t="inlineStr">
        <is>
          <t>인도네시아 K팝 매체 kpopchart.net이 최예나의 4집 미니앨범 'Blooming Wings'(2025.7.29 발매) 컴백과 연계해 도쿄·오사카 콘서트 소식을 전하며 팬들과의 교감을 강화하는 인터랙티브 이벤트를 예고함.</t>
        </is>
      </c>
      <c r="E63" t="inlineStr"/>
      <c r="F63" t="inlineStr">
        <is>
          <t>N</t>
        </is>
      </c>
      <c r="G63" t="inlineStr"/>
      <c r="H63" t="inlineStr"/>
      <c r="I63" t="inlineStr"/>
    </row>
    <row r="64">
      <c r="A64" t="n">
        <v>63</v>
      </c>
      <c r="B64" t="inlineStr">
        <is>
          <t>IVE</t>
        </is>
      </c>
      <c r="C64" t="inlineStr">
        <is>
          <t>spillover</t>
        </is>
      </c>
      <c r="D64" s="3" t="inlineStr">
        <is>
          <t>IVE 안유진·장원영이 유닛 '안녕즈'로 2025년 1월 15일 tvN '유 퀴즈 온 더 블럭'에 출연했다.</t>
        </is>
      </c>
      <c r="E64" t="inlineStr"/>
      <c r="F64" t="inlineStr">
        <is>
          <t>N</t>
        </is>
      </c>
      <c r="G64" t="inlineStr"/>
      <c r="H64" t="inlineStr"/>
      <c r="I64" t="inlineStr"/>
    </row>
    <row r="65">
      <c r="A65" t="n">
        <v>64</v>
      </c>
      <c r="B65" t="inlineStr">
        <is>
          <t>NCT</t>
        </is>
      </c>
      <c r="C65" t="inlineStr">
        <is>
          <t>loyalty</t>
        </is>
      </c>
      <c r="D65" s="3" t="inlineStr">
        <is>
          <t>NCT is the best-selling K-pop artist by cumulative album sales in Korea, with over 45 million albums sold across all sub-units as of June 2024</t>
        </is>
      </c>
      <c r="E65" t="inlineStr"/>
      <c r="F65" t="inlineStr">
        <is>
          <t>N</t>
        </is>
      </c>
      <c r="G65" t="inlineStr"/>
      <c r="H65" t="inlineStr"/>
      <c r="I65" t="inlineStr"/>
    </row>
    <row r="66">
      <c r="A66" t="n">
        <v>65</v>
      </c>
      <c r="B66" t="inlineStr">
        <is>
          <t>청하</t>
        </is>
      </c>
      <c r="C66" t="inlineStr">
        <is>
          <t>loyalty</t>
        </is>
      </c>
      <c r="D66" s="3" t="inlineStr">
        <is>
          <t>청하는 2020년 2월 10일 자신의 생일을 기념해 저소득층 아동을 위해 마스크 1만 장을 기부했다.</t>
        </is>
      </c>
      <c r="E66" t="inlineStr"/>
      <c r="F66" t="inlineStr">
        <is>
          <t>N</t>
        </is>
      </c>
      <c r="G66" t="inlineStr"/>
      <c r="H66" t="inlineStr"/>
      <c r="I66" t="inlineStr"/>
    </row>
    <row r="67">
      <c r="A67" t="n">
        <v>66</v>
      </c>
      <c r="B67" t="inlineStr">
        <is>
          <t>아일릿</t>
        </is>
      </c>
      <c r="C67" t="inlineStr">
        <is>
          <t>loyalty</t>
        </is>
      </c>
      <c r="D67" s="3" t="inlineStr">
        <is>
          <t>ILLIT, 수호(EXO), 엔하이픈이 자카르타 PIK에서 보여준 최고의 순간들.</t>
        </is>
      </c>
      <c r="E67" t="inlineStr"/>
      <c r="F67" t="inlineStr">
        <is>
          <t>N</t>
        </is>
      </c>
      <c r="G67" t="inlineStr"/>
      <c r="H67" t="inlineStr"/>
      <c r="I67" t="inlineStr"/>
    </row>
    <row r="68">
      <c r="A68" t="n">
        <v>67</v>
      </c>
      <c r="B68" t="inlineStr">
        <is>
          <t>거미</t>
        </is>
      </c>
      <c r="C68" t="inlineStr">
        <is>
          <t>spillover</t>
        </is>
      </c>
      <c r="D68" s="3" t="inlineStr">
        <is>
          <t>2003년 데뷔곡('안다면', '어디에서든' 등으로 추정되는 곡들 포함)이 20년이 지난 지금까지도 노래방 인기차트에 꾸준히 오르는 스테디셀러로 자리잡음</t>
        </is>
      </c>
      <c r="E68" t="inlineStr"/>
      <c r="F68" t="inlineStr">
        <is>
          <t>N</t>
        </is>
      </c>
      <c r="G68" t="inlineStr"/>
      <c r="H68" t="inlineStr"/>
      <c r="I68" t="inlineStr"/>
    </row>
    <row r="69">
      <c r="A69" t="n">
        <v>68</v>
      </c>
      <c r="B69" t="inlineStr">
        <is>
          <t>임영웅</t>
        </is>
      </c>
      <c r="C69" t="inlineStr">
        <is>
          <t>loyalty</t>
        </is>
      </c>
      <c r="D69" s="3" t="inlineStr">
        <is>
          <t>팬카페 '영웅시대' 공식 회원수가 21만 명을 달성했다.</t>
        </is>
      </c>
      <c r="E69" t="inlineStr"/>
      <c r="F69" t="inlineStr">
        <is>
          <t>N</t>
        </is>
      </c>
      <c r="G69" t="inlineStr"/>
      <c r="H69" t="inlineStr"/>
      <c r="I69" t="inlineStr"/>
    </row>
    <row r="70">
      <c r="A70" s="4" t="n">
        <v>69</v>
      </c>
      <c r="B70" s="4" t="inlineStr">
        <is>
          <t>리센느(RESCENE)</t>
        </is>
      </c>
      <c r="C70" s="4" t="inlineStr">
        <is>
          <t>spillover</t>
        </is>
      </c>
      <c r="D70" s="5" t="inlineStr">
        <is>
          <t>철원 다슬기축제 현장에서 당시는 다소 생소한 그룹이었음에도 관객들이 뜨겁게 호응하며 앙코르 무대까지 이끌어냈고, 현재는 축제에 섭외하기도 힘들 만큼 인기 스타가 됐다는 대비를 전한 기사(네티즌 반응 인용 포함).</t>
        </is>
      </c>
      <c r="E70" s="4" t="inlineStr"/>
      <c r="F70" s="4" t="inlineStr">
        <is>
          <t>Y</t>
        </is>
      </c>
      <c r="G70" s="4" t="inlineStr">
        <is>
          <t>철원(강원) 다슬기축제 — 철원 없음</t>
        </is>
      </c>
      <c r="H70" s="4" t="inlineStr"/>
      <c r="I70" s="4" t="inlineStr"/>
    </row>
    <row r="71">
      <c r="A71" t="n">
        <v>70</v>
      </c>
      <c r="B71" t="inlineStr">
        <is>
          <t>A-pink</t>
        </is>
      </c>
      <c r="C71" t="inlineStr">
        <is>
          <t>spillover</t>
        </is>
      </c>
      <c r="D71" s="3" t="inlineStr">
        <is>
          <t>에이핑크 박초롱은 웹시리즈 '종합광고대행사: 찌찌' 시즌2 '광고의 온도' 편에 찌찌팀을 조율하는 중심인물 '민주' 역으로 합류하며, 2026년 하반기 주요 OTT 플랫폼 공개를 앞두고 있다.</t>
        </is>
      </c>
      <c r="E71" t="inlineStr"/>
      <c r="F71" t="inlineStr">
        <is>
          <t>N</t>
        </is>
      </c>
      <c r="G71" t="inlineStr"/>
      <c r="H71" t="inlineStr"/>
      <c r="I71" t="inlineStr"/>
    </row>
    <row r="72">
      <c r="A72" t="n">
        <v>71</v>
      </c>
      <c r="B72" t="inlineStr">
        <is>
          <t>NewJeans</t>
        </is>
      </c>
      <c r="C72" t="inlineStr">
        <is>
          <t>spillover</t>
        </is>
      </c>
      <c r="D72" s="3" t="inlineStr">
        <is>
          <t>NewJeans는 2023년 1월 NME의 'Big Read' 커버 인터뷰를 장식했으며, 앞서 NME의 '2023년 주목할 신인 아티스트 100' 명단에도 이름을 올렸다.</t>
        </is>
      </c>
      <c r="E72" t="inlineStr"/>
      <c r="F72" t="inlineStr">
        <is>
          <t>N</t>
        </is>
      </c>
      <c r="G72" t="inlineStr"/>
      <c r="H72" t="inlineStr"/>
      <c r="I72" t="inlineStr"/>
    </row>
    <row r="73">
      <c r="A73" t="n">
        <v>72</v>
      </c>
      <c r="B73" t="inlineStr">
        <is>
          <t>거미</t>
        </is>
      </c>
      <c r="C73" t="inlineStr">
        <is>
          <t>spillover</t>
        </is>
      </c>
      <c r="D73" s="3" t="inlineStr">
        <is>
          <t>거미는 2015년 JTBC '히든싱어4'에 원조 가수로 출연해 우승을 차지했다.</t>
        </is>
      </c>
      <c r="E73" t="inlineStr"/>
      <c r="F73" t="inlineStr">
        <is>
          <t>N</t>
        </is>
      </c>
      <c r="G73" t="inlineStr"/>
      <c r="H73" t="inlineStr"/>
      <c r="I73" t="inlineStr"/>
    </row>
    <row r="74">
      <c r="A74" t="n">
        <v>73</v>
      </c>
      <c r="B74" t="inlineStr">
        <is>
          <t>BABYMONSTER</t>
        </is>
      </c>
      <c r="C74" t="inlineStr">
        <is>
          <t>spillover</t>
        </is>
      </c>
      <c r="D74" s="3" t="inlineStr">
        <is>
          <t>스포츠경향, 태국 강진 관련 재태 K팝 스타 애도 메시지 기사에서 치키타를 태국 출신 스타로 거론(2025.3.30)</t>
        </is>
      </c>
      <c r="E74" t="inlineStr"/>
      <c r="F74" t="inlineStr">
        <is>
          <t>N</t>
        </is>
      </c>
      <c r="G74" t="inlineStr"/>
      <c r="H74" t="inlineStr"/>
      <c r="I74" t="inlineStr"/>
    </row>
    <row r="75">
      <c r="A75" t="n">
        <v>74</v>
      </c>
      <c r="B75" t="inlineStr">
        <is>
          <t>BTOB</t>
        </is>
      </c>
      <c r="C75" t="inlineStr">
        <is>
          <t>loyalty</t>
        </is>
      </c>
      <c r="D75" s="3" t="inlineStr">
        <is>
          <t>아랍어 팬사이트 'BToB Arab Melodies'가 BTOB 관련 57가지 사실을 정리하며 멤버 일훈이 복싱에 능하고 데뷔 전 팀명이 '아리랑'이었으며 현식이 EXO 디오와 친분이 있다는 내용을 아랍어로 다룸(WebFetch로 확인).</t>
        </is>
      </c>
      <c r="E75" t="inlineStr"/>
      <c r="F75" t="inlineStr">
        <is>
          <t>N</t>
        </is>
      </c>
      <c r="G75" t="inlineStr"/>
      <c r="H75" t="inlineStr"/>
      <c r="I75" t="inlineStr"/>
    </row>
    <row r="76">
      <c r="A76" t="n">
        <v>75</v>
      </c>
      <c r="B76" t="inlineStr">
        <is>
          <t>정동원</t>
        </is>
      </c>
      <c r="C76" t="inlineStr">
        <is>
          <t>spillover</t>
        </is>
      </c>
      <c r="D76" s="3" t="inlineStr">
        <is>
          <t>allkpop은 정동원이 드라마 '절대 포기하지 마' OST 'Alright' 작사에 참여해 월 약 300만 원의 저작권료를 받고 있다고 전했다.</t>
        </is>
      </c>
      <c r="E76" t="inlineStr"/>
      <c r="F76" t="inlineStr">
        <is>
          <t>N</t>
        </is>
      </c>
      <c r="G76" t="inlineStr"/>
      <c r="H76" t="inlineStr"/>
      <c r="I76" t="inlineStr"/>
    </row>
    <row r="77">
      <c r="A77" t="n">
        <v>76</v>
      </c>
      <c r="B77" t="inlineStr">
        <is>
          <t>임영웅</t>
        </is>
      </c>
      <c r="C77" t="inlineStr">
        <is>
          <t>spillover</t>
        </is>
      </c>
      <c r="D77" s="3" t="inlineStr">
        <is>
          <t>임영웅이 건강기능식품 브랜드 뉴트리원의 전속모델로 발탁됐다고 국제뉴스가 보도했다. 2021년 3월 발탁 소식이 공개됐다.</t>
        </is>
      </c>
      <c r="E77" t="inlineStr"/>
      <c r="F77" t="inlineStr">
        <is>
          <t>N</t>
        </is>
      </c>
      <c r="G77" t="inlineStr"/>
      <c r="H77" t="inlineStr"/>
      <c r="I77" t="inlineStr"/>
    </row>
    <row r="78">
      <c r="A78" t="n">
        <v>77</v>
      </c>
      <c r="B78" t="inlineStr">
        <is>
          <t>임영웅</t>
        </is>
      </c>
      <c r="C78" t="inlineStr">
        <is>
          <t>loyalty</t>
        </is>
      </c>
      <c r="D78" s="3" t="inlineStr">
        <is>
          <t>임영웅 팬클럽 '영웅시대'는 2025년 8월 앨범 구입비 300만 원을 성금으로 기부했다.</t>
        </is>
      </c>
      <c r="E78" t="inlineStr"/>
      <c r="F78" t="inlineStr">
        <is>
          <t>N</t>
        </is>
      </c>
      <c r="G78" t="inlineStr"/>
      <c r="H78" t="inlineStr"/>
      <c r="I78" t="inlineStr"/>
    </row>
    <row r="79">
      <c r="A79" t="n">
        <v>78</v>
      </c>
      <c r="B79" t="inlineStr">
        <is>
          <t>레드벨벳</t>
        </is>
      </c>
      <c r="C79" t="inlineStr">
        <is>
          <t>spillover</t>
        </is>
      </c>
      <c r="D79" s="3" t="inlineStr">
        <is>
          <t>레드벨벳 슬기가 K-POP 아티스트 최초로 이탈리아 럭셔리 브랜드 살바토레 페라가모의 '글로벌 앰버서더'로 발탁돼 슈즈 캡슐 컬렉션 'Let's Dance' 캠페인에 참여했다(2021년).</t>
        </is>
      </c>
      <c r="E79" t="inlineStr"/>
      <c r="F79" t="inlineStr">
        <is>
          <t>N</t>
        </is>
      </c>
      <c r="G79" t="inlineStr"/>
      <c r="H79" t="inlineStr"/>
      <c r="I79" t="inlineStr"/>
    </row>
    <row r="80">
      <c r="A80" t="n">
        <v>79</v>
      </c>
      <c r="B80" t="inlineStr">
        <is>
          <t>BTS</t>
        </is>
      </c>
      <c r="C80" t="inlineStr">
        <is>
          <t>loyalty</t>
        </is>
      </c>
      <c r="D80" s="3" t="inlineStr">
        <is>
          <t>정규앨범 'Arirang'이 자체 데뷔 기록을 갈아치우며 초동 판매량 417만장을 기록했다.</t>
        </is>
      </c>
      <c r="E80" t="inlineStr"/>
      <c r="F80" t="inlineStr">
        <is>
          <t>N</t>
        </is>
      </c>
      <c r="G80" t="inlineStr"/>
      <c r="H80" t="inlineStr"/>
      <c r="I80" t="inlineStr"/>
    </row>
    <row r="81">
      <c r="A81" t="n">
        <v>80</v>
      </c>
      <c r="B81" t="inlineStr">
        <is>
          <t>다이나믹듀오</t>
        </is>
      </c>
      <c r="C81" t="inlineStr">
        <is>
          <t>spillover</t>
        </is>
      </c>
      <c r="D81" s="3" t="inlineStr">
        <is>
          <t>최자, '최자로드' 유튜브 채널 독립 운영 관련 밝혀, 맛집 소개 콘텐츠로 지역 상권에 영향력 행사</t>
        </is>
      </c>
      <c r="E81" t="inlineStr"/>
      <c r="F81" t="inlineStr">
        <is>
          <t>N</t>
        </is>
      </c>
      <c r="G81" t="inlineStr"/>
      <c r="H81" t="inlineStr"/>
      <c r="I81" t="inlineStr"/>
    </row>
    <row r="82">
      <c r="A82" t="n">
        <v>81</v>
      </c>
      <c r="B82" t="inlineStr">
        <is>
          <t>아일릿</t>
        </is>
      </c>
      <c r="C82" t="inlineStr">
        <is>
          <t>spillover</t>
        </is>
      </c>
      <c r="D82" s="3" t="inlineStr">
        <is>
          <t>Oricon.co.jp published news coverage of ILLIT releasing solo visuals for "Almond Chocolate," described as their first original song made specifically for the Japanese market.</t>
        </is>
      </c>
      <c r="E82" t="inlineStr"/>
      <c r="F82" t="inlineStr">
        <is>
          <t>N</t>
        </is>
      </c>
      <c r="G82" t="inlineStr"/>
      <c r="H82" t="inlineStr"/>
      <c r="I82" t="inlineStr"/>
    </row>
    <row r="83">
      <c r="A83" t="n">
        <v>82</v>
      </c>
      <c r="B83" t="inlineStr">
        <is>
          <t>박정현</t>
        </is>
      </c>
      <c r="C83" t="inlineStr">
        <is>
          <t>spillover</t>
        </is>
      </c>
      <c r="D83" s="3" t="inlineStr">
        <is>
          <t>박정현이 KBS2 '불후의 명곡' 특집(2025.10.11 방송)에 출연해 연인과 이별 후 사진 속 옷들을 버렸던 사연을 공개했다.</t>
        </is>
      </c>
      <c r="E83" t="inlineStr"/>
      <c r="F83" t="inlineStr">
        <is>
          <t>N</t>
        </is>
      </c>
      <c r="G83" t="inlineStr"/>
      <c r="H83" t="inlineStr"/>
      <c r="I83" t="inlineStr"/>
    </row>
    <row r="84">
      <c r="A84" t="n">
        <v>83</v>
      </c>
      <c r="B84" t="inlineStr">
        <is>
          <t>로이킴</t>
        </is>
      </c>
      <c r="C84" t="inlineStr">
        <is>
          <t>spillover</t>
        </is>
      </c>
      <c r="D84" s="3" t="inlineStr">
        <is>
          <t>로이킴이 노숙인 자활을 지원하는 사회적기업 매거진 '빅이슈 코리아'에 2014년 8월(90호), 2018년 12월(192호) 두 차례 재능기부 형태로 참여했다.</t>
        </is>
      </c>
      <c r="E84" t="inlineStr"/>
      <c r="F84" t="inlineStr">
        <is>
          <t>N</t>
        </is>
      </c>
      <c r="G84" t="inlineStr"/>
      <c r="H84" t="inlineStr"/>
      <c r="I84" t="inlineStr"/>
    </row>
    <row r="85">
      <c r="A85" t="n">
        <v>84</v>
      </c>
      <c r="B85" t="inlineStr">
        <is>
          <t>잭스키스</t>
        </is>
      </c>
      <c r="C85" t="inlineStr">
        <is>
          <t>loyalty</t>
        </is>
      </c>
      <c r="D85" s="3" t="inlineStr">
        <is>
          <t>젝스키스 은지원 팬카페가 2017년 6월 8일 한국백혈병어린이재단을 통해 소아암 환아 치료비로 120만원을 기부했으며, 이는 2016년 12월 은지원 컴백 기념 200만원 기부에 이은 두 번째 기부다</t>
        </is>
      </c>
      <c r="E85" t="inlineStr"/>
      <c r="F85" t="inlineStr">
        <is>
          <t>N</t>
        </is>
      </c>
      <c r="G85" t="inlineStr"/>
      <c r="H85" t="inlineStr"/>
      <c r="I85" t="inlineStr"/>
    </row>
    <row r="86">
      <c r="A86" t="n">
        <v>85</v>
      </c>
      <c r="B86" t="inlineStr">
        <is>
          <t>아이오아이</t>
        </is>
      </c>
      <c r="C86" t="inlineStr">
        <is>
          <t>spillover</t>
        </is>
      </c>
      <c r="D86" s="3" t="inlineStr">
        <is>
          <t>"Very Very Very" was their first #1 hit with 1,319,944 downloads; "Miss Me?" EP sold 652,321 copies in Korea</t>
        </is>
      </c>
      <c r="E86" t="inlineStr"/>
      <c r="F86" t="inlineStr">
        <is>
          <t>N</t>
        </is>
      </c>
      <c r="G86" t="inlineStr"/>
      <c r="H86" t="inlineStr"/>
      <c r="I86" t="inlineStr"/>
    </row>
    <row r="87">
      <c r="A87" t="n">
        <v>86</v>
      </c>
      <c r="B87" t="inlineStr">
        <is>
          <t>GOT7</t>
        </is>
      </c>
      <c r="C87" t="inlineStr">
        <is>
          <t>loyalty</t>
        </is>
      </c>
      <c r="D87" s="3" t="inlineStr">
        <is>
          <t>2022년 완전체 컴백 미니앨범 'GOT7'은 초동 판매량 37만 1500장을 기록하며 갓세븐 자체 최고 기록을 경신했다.</t>
        </is>
      </c>
      <c r="E87" t="inlineStr"/>
      <c r="F87" t="inlineStr">
        <is>
          <t>N</t>
        </is>
      </c>
      <c r="G87" t="inlineStr"/>
      <c r="H87" t="inlineStr"/>
      <c r="I87" t="inlineStr"/>
    </row>
    <row r="88">
      <c r="A88" t="n">
        <v>87</v>
      </c>
      <c r="B88" t="inlineStr">
        <is>
          <t>LE SSERAFIM</t>
        </is>
      </c>
      <c r="C88" t="inlineStr">
        <is>
          <t>loyalty</t>
        </is>
      </c>
      <c r="D88" s="3" t="inlineStr">
        <is>
          <t>나무위키 및 나마네카드 블로그에 따르면 르세라핌이 2026년 9월 11일 자정(한국시간) 두 번째 싱글 앨범 &lt;Made My Night&gt;의 타이틀곡 'YOU JUST MADE MY NIGHT' 뮤직비디오를 공개하고 같은 날 오후 1시 음원을 발매하며 완전체로 컴백했다.</t>
        </is>
      </c>
      <c r="E88" t="inlineStr"/>
      <c r="F88" t="inlineStr">
        <is>
          <t>N</t>
        </is>
      </c>
      <c r="G88" t="inlineStr"/>
      <c r="H88" t="inlineStr"/>
      <c r="I88" t="inlineStr"/>
    </row>
    <row r="89">
      <c r="A89" t="n">
        <v>88</v>
      </c>
      <c r="B89" t="inlineStr">
        <is>
          <t>Hearts2Hearts</t>
        </is>
      </c>
      <c r="C89" t="inlineStr">
        <is>
          <t>spillover</t>
        </is>
      </c>
      <c r="D89" s="3" t="inlineStr">
        <is>
          <t>Swept 7 separate Rookie of the Year awards in 2025</t>
        </is>
      </c>
      <c r="E89" t="inlineStr"/>
      <c r="F89" t="inlineStr">
        <is>
          <t>N</t>
        </is>
      </c>
      <c r="G89" t="inlineStr"/>
      <c r="H89" t="inlineStr"/>
      <c r="I89" t="inlineStr"/>
    </row>
    <row r="90">
      <c r="A90" t="n">
        <v>89</v>
      </c>
      <c r="B90" t="inlineStr">
        <is>
          <t>동방신기</t>
        </is>
      </c>
      <c r="C90" t="inlineStr">
        <is>
          <t>spillover</t>
        </is>
      </c>
      <c r="D90" s="3" t="inlineStr">
        <is>
          <t>東方神起が3度目の日産スタジアム公演を開催、海外アーティスト史上最多</t>
        </is>
      </c>
      <c r="E90" t="inlineStr"/>
      <c r="F90" t="inlineStr">
        <is>
          <t>N</t>
        </is>
      </c>
      <c r="G90" t="inlineStr"/>
      <c r="H90" t="inlineStr"/>
      <c r="I90" t="inlineStr"/>
    </row>
    <row r="91">
      <c r="A91" t="n">
        <v>90</v>
      </c>
      <c r="B91" t="inlineStr">
        <is>
          <t>비비</t>
        </is>
      </c>
      <c r="C91" t="inlineStr">
        <is>
          <t>loyalty</t>
        </is>
      </c>
      <c r="D91" s="3" t="inlineStr">
        <is>
          <t>BIBI '1st World Tour EVE in Bangkok' 개최 소식</t>
        </is>
      </c>
      <c r="E91" t="inlineStr"/>
      <c r="F91" t="inlineStr">
        <is>
          <t>N</t>
        </is>
      </c>
      <c r="G91" t="inlineStr"/>
      <c r="H91" t="inlineStr"/>
      <c r="I91" t="inlineStr"/>
    </row>
    <row r="92">
      <c r="A92" t="n">
        <v>91</v>
      </c>
      <c r="B92" t="inlineStr">
        <is>
          <t>카더가든</t>
        </is>
      </c>
      <c r="C92" t="inlineStr">
        <is>
          <t>loyalty</t>
        </is>
      </c>
      <c r="D92" s="3" t="inlineStr">
        <is>
          <t>His personal YouTube channel "카더정원" (@carthejungwon) has 1.3 million subscribers (Aug 2026) and posts on a fixed schedule (10th/20th/30th of each month, 7PM); its board-game series regularly exceeds 1 million views per video, reflecting strong repeat-viewership loyalty</t>
        </is>
      </c>
      <c r="E92" t="inlineStr"/>
      <c r="F92" t="inlineStr">
        <is>
          <t>N</t>
        </is>
      </c>
      <c r="G92" t="inlineStr"/>
      <c r="H92" t="inlineStr"/>
      <c r="I92" t="inlineStr"/>
    </row>
    <row r="93">
      <c r="A93" t="n">
        <v>92</v>
      </c>
      <c r="B93" t="inlineStr">
        <is>
          <t>aespa</t>
        </is>
      </c>
      <c r="C93" t="inlineStr">
        <is>
          <t>loyalty</t>
        </is>
      </c>
      <c r="D93" s="3" t="inlineStr">
        <is>
          <t>3집 'My World'(2023)는 200만 장 이상 판매됐다.</t>
        </is>
      </c>
      <c r="E93" t="inlineStr"/>
      <c r="F93" t="inlineStr">
        <is>
          <t>N</t>
        </is>
      </c>
      <c r="G93" t="inlineStr"/>
      <c r="H93" t="inlineStr"/>
      <c r="I93" t="inlineStr"/>
    </row>
    <row r="94">
      <c r="A94" t="n">
        <v>93</v>
      </c>
      <c r="B94" t="inlineStr">
        <is>
          <t>LE SSERAFIM</t>
        </is>
      </c>
      <c r="C94" t="inlineStr">
        <is>
          <t>spillover</t>
        </is>
      </c>
      <c r="D94" s="3" t="inlineStr">
        <is>
          <t>Infobae Mexico reported rumors of a potential collaboration between Mexican artist Peso Pluma and LE SSERAFIM, mainstream cross-genre music-press coverage</t>
        </is>
      </c>
      <c r="E94" t="inlineStr"/>
      <c r="F94" t="inlineStr">
        <is>
          <t>N</t>
        </is>
      </c>
      <c r="G94" t="inlineStr"/>
      <c r="H94" t="inlineStr"/>
      <c r="I94" t="inlineStr"/>
    </row>
    <row r="95">
      <c r="A95" t="n">
        <v>94</v>
      </c>
      <c r="B95" t="inlineStr">
        <is>
          <t>god</t>
        </is>
      </c>
      <c r="C95" t="inlineStr">
        <is>
          <t>loyalty</t>
        </is>
      </c>
      <c r="D95" s="3" t="inlineStr">
        <is>
          <t>2023년 8월 god 콘서트 'ㅇㅁㄷ 지오디' 티켓이 오후 2시 예매 시작 후 단 3분 만에 전석 매진됐으며, 예매 시스템에는 최대 5만 1900명의 대기 인원이 몰렸다.</t>
        </is>
      </c>
      <c r="E95" t="inlineStr"/>
      <c r="F95" t="inlineStr">
        <is>
          <t>N</t>
        </is>
      </c>
      <c r="G95" t="inlineStr"/>
      <c r="H95" t="inlineStr"/>
      <c r="I95" t="inlineStr"/>
    </row>
    <row r="96">
      <c r="A96" t="n">
        <v>95</v>
      </c>
      <c r="B96" t="inlineStr">
        <is>
          <t>싸이</t>
        </is>
      </c>
      <c r="C96" t="inlineStr">
        <is>
          <t>spillover</t>
        </is>
      </c>
      <c r="D96" s="3" t="inlineStr">
        <is>
          <t>동화약품이 가수 싸이를 종합감기약 '판콜' 신규 TV광고 모델로 발탁해 '감기없는 코리아, 판 콜이야' 캠페인을 공개했다(2023년 9월).</t>
        </is>
      </c>
      <c r="E96" t="inlineStr"/>
      <c r="F96" t="inlineStr">
        <is>
          <t>N</t>
        </is>
      </c>
      <c r="G96" t="inlineStr"/>
      <c r="H96" t="inlineStr"/>
      <c r="I96" t="inlineStr"/>
    </row>
    <row r="97">
      <c r="A97" t="n">
        <v>96</v>
      </c>
      <c r="B97" t="inlineStr">
        <is>
          <t>ITZY</t>
        </is>
      </c>
      <c r="C97" t="inlineStr">
        <is>
          <t>spillover</t>
        </is>
      </c>
      <c r="D97" s="3" t="inlineStr">
        <is>
          <t>ITZY 유나가 2026년 tvN 드라마 '최애의 사원'에 캐스팅되어 톱배우 윤초이 역을 맡았다.</t>
        </is>
      </c>
      <c r="E97" t="inlineStr"/>
      <c r="F97" t="inlineStr">
        <is>
          <t>N</t>
        </is>
      </c>
      <c r="G97" t="inlineStr"/>
      <c r="H97" t="inlineStr"/>
      <c r="I97" t="inlineStr"/>
    </row>
    <row r="98">
      <c r="A98" t="n">
        <v>97</v>
      </c>
      <c r="B98" t="inlineStr">
        <is>
          <t>이찬원</t>
        </is>
      </c>
      <c r="C98" t="inlineStr">
        <is>
          <t>spillover</t>
        </is>
      </c>
      <c r="D98" s="3" t="inlineStr">
        <is>
          <t>이찬원 유튜브 채널이 누적 조회수 6억 뷰를 돌파했다는 소식이 보도됐다(2026년 6월 30일 기준).</t>
        </is>
      </c>
      <c r="E98" t="inlineStr"/>
      <c r="F98" t="inlineStr">
        <is>
          <t>N</t>
        </is>
      </c>
      <c r="G98" t="inlineStr"/>
      <c r="H98" t="inlineStr"/>
      <c r="I98" t="inlineStr"/>
    </row>
    <row r="99">
      <c r="A99" t="n">
        <v>98</v>
      </c>
      <c r="B99" t="inlineStr">
        <is>
          <t>보아</t>
        </is>
      </c>
      <c r="C99" t="inlineStr">
        <is>
          <t>spillover</t>
        </is>
      </c>
      <c r="D99" s="3" t="inlineStr">
        <is>
          <t>가수 보아가 스튜디오 근황을 공개하며 토크 방송 촬영 후 유쾌한 포즈를 취한 모습이 보도됨.</t>
        </is>
      </c>
      <c r="E99" t="inlineStr"/>
      <c r="F99" t="inlineStr">
        <is>
          <t>N</t>
        </is>
      </c>
      <c r="G99" t="inlineStr"/>
      <c r="H99" t="inlineStr"/>
      <c r="I99" t="inlineStr"/>
    </row>
    <row r="100">
      <c r="A100" t="n">
        <v>99</v>
      </c>
      <c r="B100" t="inlineStr">
        <is>
          <t>ITZY</t>
        </is>
      </c>
      <c r="C100" t="inlineStr">
        <is>
          <t>spillover</t>
        </is>
      </c>
      <c r="D100" s="3" t="inlineStr">
        <is>
          <t>멕시코 언론 Infobae가 ITZY의 멕시코 공연이 현지 팬덤(MIDZY)과의 유대와 중남미 시장에서의 K-pop 성장세를 보여준다고 보도: "Este concierto en Ciudad de México también servirá como plataforma para que ITZY pueda conectar de manera más cercana con sus fans mexicanos, conocidos como MIDZY, y fortalecer la relación con la base de seguidores en América Latina." / "La presencia de ITZY en México se suma a la lista de artistas internacionales que han elegido el país para actuar, lo que refleja la posición de México como un mercado importante y en crecimiento para la industria musical del K-pop."</t>
        </is>
      </c>
      <c r="E100" t="inlineStr"/>
      <c r="F100" t="inlineStr">
        <is>
          <t>N</t>
        </is>
      </c>
      <c r="G100" t="inlineStr"/>
      <c r="H100" t="inlineStr"/>
      <c r="I100" t="inlineStr"/>
    </row>
    <row r="101">
      <c r="A101" t="n">
        <v>100</v>
      </c>
      <c r="B101" t="inlineStr">
        <is>
          <t>이효리</t>
        </is>
      </c>
      <c r="C101" t="inlineStr">
        <is>
          <t>spillover</t>
        </is>
      </c>
      <c r="D101" s="3" t="inlineStr">
        <is>
          <t>이효리·이상순 부부는 2025년 5월 16일 유기견·유기묘 수백 마리를 보호 중인 사단법인 평강공주에 사료 2톤을 기부했다</t>
        </is>
      </c>
      <c r="E101" t="inlineStr"/>
      <c r="F101" t="inlineStr">
        <is>
          <t>N</t>
        </is>
      </c>
      <c r="G101" t="inlineStr"/>
      <c r="H101" t="inlineStr"/>
      <c r="I101" t="inlineStr"/>
    </row>
    <row r="102">
      <c r="A102" t="n">
        <v>101</v>
      </c>
      <c r="B102" t="inlineStr">
        <is>
          <t>에픽하이</t>
        </is>
      </c>
      <c r="C102" t="inlineStr">
        <is>
          <t>loyalty</t>
        </is>
      </c>
      <c r="D102" s="3" t="inlineStr">
        <is>
          <t>twig24는 2026년 8월 30일 타블로가 8월 29일 인스타그램에 공개한 에픽하이 공식 유튜브 채널의 '에픽카세 가요제' 콘텐츠에서 멤버 투컷이 K팝 업계 인맥을 총동원한 대대적인 SNS 홍보 캠페인을 벌이고 있다고 언급하며 팬들에게 우승 자신이 없다고 말했다고 보도했다.</t>
        </is>
      </c>
      <c r="E102" t="inlineStr"/>
      <c r="F102" t="inlineStr">
        <is>
          <t>N</t>
        </is>
      </c>
      <c r="G102" t="inlineStr"/>
      <c r="H102" t="inlineStr"/>
      <c r="I102" t="inlineStr"/>
    </row>
    <row r="103">
      <c r="A103" t="n">
        <v>102</v>
      </c>
      <c r="B103" t="inlineStr">
        <is>
          <t>QWER</t>
        </is>
      </c>
      <c r="C103" t="inlineStr">
        <is>
          <t>loyalty</t>
        </is>
      </c>
      <c r="D103" s="3" t="inlineStr">
        <is>
          <t>신랑(sina.cn)에는 QWER 신보 발매에 맞춰 팬들이 제작한 "타가카드(打歌卡)" 모음 게시물이 뉴스로 전재되어 있다.</t>
        </is>
      </c>
      <c r="E103" t="inlineStr"/>
      <c r="F103" t="inlineStr">
        <is>
          <t>N</t>
        </is>
      </c>
      <c r="G103" t="inlineStr"/>
      <c r="H103" t="inlineStr"/>
      <c r="I103" t="inlineStr"/>
    </row>
    <row r="104">
      <c r="A104" t="n">
        <v>103</v>
      </c>
      <c r="B104" t="inlineStr">
        <is>
          <t>aespa</t>
        </is>
      </c>
      <c r="C104" t="inlineStr">
        <is>
          <t>spillover</t>
        </is>
      </c>
      <c r="D104" s="3" t="inlineStr">
        <is>
          <t>2026 코리아퍼스트브랜드대상에서 국내·베트남(3년 연속)·인도네시아 여자 아이돌 부문 3관왕</t>
        </is>
      </c>
      <c r="E104" t="inlineStr"/>
      <c r="F104" t="inlineStr">
        <is>
          <t>N</t>
        </is>
      </c>
      <c r="G104" t="inlineStr"/>
      <c r="H104" t="inlineStr"/>
      <c r="I104" t="inlineStr"/>
    </row>
    <row r="105">
      <c r="A105" t="n">
        <v>104</v>
      </c>
      <c r="B105" t="inlineStr">
        <is>
          <t>ITZY</t>
        </is>
      </c>
      <c r="C105" t="inlineStr">
        <is>
          <t>spillover</t>
        </is>
      </c>
      <c r="D105" s="3" t="inlineStr">
        <is>
          <t>중국 sina.com.cn 산하 cj.sina.com.cn은 ITZY 컴백곡 《Motto》 전체 일정 공개 소식을 "ITZY強勢回歸！《Motto》完整日程全曝光，概念圖驚艷"라는 제목으로 전했다.</t>
        </is>
      </c>
      <c r="E105" t="inlineStr"/>
      <c r="F105" t="inlineStr">
        <is>
          <t>N</t>
        </is>
      </c>
      <c r="G105" t="inlineStr"/>
      <c r="H105" t="inlineStr"/>
      <c r="I105" t="inlineStr"/>
    </row>
    <row r="106">
      <c r="A106" t="n">
        <v>105</v>
      </c>
      <c r="B106" t="inlineStr">
        <is>
          <t>에픽하이</t>
        </is>
      </c>
      <c r="C106" t="inlineStr">
        <is>
          <t>loyalty</t>
        </is>
      </c>
      <c r="D106" s="3" t="inlineStr">
        <is>
          <t>에픽하이가 베트남에 너무 늦게 온 것을 후회한다고 밝히며 팬들과 소통했다.</t>
        </is>
      </c>
      <c r="E106" t="inlineStr"/>
      <c r="F106" t="inlineStr">
        <is>
          <t>N</t>
        </is>
      </c>
      <c r="G106" t="inlineStr"/>
      <c r="H106" t="inlineStr"/>
      <c r="I106" t="inlineStr"/>
    </row>
    <row r="107">
      <c r="A107" t="n">
        <v>106</v>
      </c>
      <c r="B107" t="inlineStr">
        <is>
          <t>마마무</t>
        </is>
      </c>
      <c r="C107" t="inlineStr">
        <is>
          <t>spillover</t>
        </is>
      </c>
      <c r="D107" s="3" t="inlineStr">
        <is>
          <t>Natalie (natalie.mu) reported that MAMAMOO's Wheein ended her exclusive management contract with agency RBW but would continue group activities through 2023, framing this as significant industry/fan news in the Japanese music press.</t>
        </is>
      </c>
      <c r="E107" t="inlineStr"/>
      <c r="F107" t="inlineStr">
        <is>
          <t>N</t>
        </is>
      </c>
      <c r="G107" t="inlineStr"/>
      <c r="H107" t="inlineStr"/>
      <c r="I107" t="inlineStr"/>
    </row>
    <row r="108">
      <c r="A108" t="n">
        <v>107</v>
      </c>
      <c r="B108" t="inlineStr">
        <is>
          <t>샤이니</t>
        </is>
      </c>
      <c r="C108" t="inlineStr">
        <is>
          <t>loyalty</t>
        </is>
      </c>
      <c r="D108" s="3" t="inlineStr">
        <is>
          <t>2016년 'Shinee World' 투어에서 9개 도시 20회 공연에 누적 35만 명이 참석했다.</t>
        </is>
      </c>
      <c r="E108" t="inlineStr"/>
      <c r="F108" t="inlineStr">
        <is>
          <t>N</t>
        </is>
      </c>
      <c r="G108" t="inlineStr"/>
      <c r="H108" t="inlineStr"/>
      <c r="I108" t="inlineStr"/>
    </row>
    <row r="109">
      <c r="A109" t="n">
        <v>108</v>
      </c>
      <c r="B109" t="inlineStr">
        <is>
          <t>CNBLUE</t>
        </is>
      </c>
      <c r="C109" t="inlineStr">
        <is>
          <t>spillover</t>
        </is>
      </c>
      <c r="D109" s="3" t="inlineStr">
        <is>
          <t>베트남 매체 kenh14는 CNBLUE 출신 스타(정용화로 추정)가 하노이에서 조깅하다가 아무도 알아보지 못했다는 일화를 2025년 7월 22일 보도, 베트남 대중 사이에서의 인지도 변화를 다뤘다</t>
        </is>
      </c>
      <c r="E109" t="inlineStr"/>
      <c r="F109" t="inlineStr">
        <is>
          <t>N</t>
        </is>
      </c>
      <c r="G109" t="inlineStr"/>
      <c r="H109" t="inlineStr"/>
      <c r="I109" t="inlineStr"/>
    </row>
    <row r="110">
      <c r="A110" t="n">
        <v>109</v>
      </c>
      <c r="B110" t="inlineStr">
        <is>
          <t>김연자</t>
        </is>
      </c>
      <c r="C110" t="inlineStr">
        <is>
          <t>spillover</t>
        </is>
      </c>
      <c r="D110" s="3" t="inlineStr">
        <is>
          <t>김연자가 2022년 11월 헬스케어 가전 브랜드 '자이글ON'(산소음이온발생기 '숲속', 온열마사지기 '오로라' 등)의 전속모델로 발탁됐다.</t>
        </is>
      </c>
      <c r="E110" t="inlineStr"/>
      <c r="F110" t="inlineStr">
        <is>
          <t>N</t>
        </is>
      </c>
      <c r="G110" t="inlineStr"/>
      <c r="H110" t="inlineStr"/>
      <c r="I110" t="inlineStr"/>
    </row>
    <row r="111">
      <c r="A111" t="n">
        <v>110</v>
      </c>
      <c r="B111" t="inlineStr">
        <is>
          <t>CORTIS</t>
        </is>
      </c>
      <c r="C111" t="inlineStr">
        <is>
          <t>spillover</t>
        </is>
      </c>
      <c r="D111" s="3" t="inlineStr">
        <is>
          <t>CORTIS 다큐멘터리 'What We Want'는 2023년 4월부터 2024년 5월까지 약 14개월간 촬영되었으며, 해외 프로듀서들이 이들의 협업 방식을 '완전히 다른 K팝(a completely different kind of K-pop)'이라 평가한 내용이 담겼다고 영어권 매체 스타뉴스코리아가 보도했다.</t>
        </is>
      </c>
      <c r="E111" t="inlineStr"/>
      <c r="F111" t="inlineStr">
        <is>
          <t>N</t>
        </is>
      </c>
      <c r="G111" t="inlineStr"/>
      <c r="H111" t="inlineStr"/>
      <c r="I111" t="inlineStr"/>
    </row>
    <row r="112">
      <c r="A112" t="n">
        <v>111</v>
      </c>
      <c r="B112" t="inlineStr">
        <is>
          <t>정동원</t>
        </is>
      </c>
      <c r="C112" t="inlineStr">
        <is>
          <t>loyalty</t>
        </is>
      </c>
      <c r="D112" s="3" t="inlineStr">
        <is>
          <t>미스터트롯 톱6 동료들이 정동원의 공연에 지원사격을 보내는 등 팬덤 간 연대가 형성됐다.</t>
        </is>
      </c>
      <c r="E112" t="inlineStr"/>
      <c r="F112" t="inlineStr">
        <is>
          <t>N</t>
        </is>
      </c>
      <c r="G112" t="inlineStr"/>
      <c r="H112" t="inlineStr"/>
      <c r="I112" t="inlineStr"/>
    </row>
    <row r="113">
      <c r="A113" t="n">
        <v>112</v>
      </c>
      <c r="B113" t="inlineStr">
        <is>
          <t>청하</t>
        </is>
      </c>
      <c r="C113" t="inlineStr">
        <is>
          <t>loyalty</t>
        </is>
      </c>
      <c r="D113" s="3" t="inlineStr">
        <is>
          <t>Her official fandom, originally named HAART (nicknamed "별하랑"), operated from June 7, 2018 to January 8, 2024</t>
        </is>
      </c>
      <c r="E113" t="inlineStr"/>
      <c r="F113" t="inlineStr">
        <is>
          <t>N</t>
        </is>
      </c>
      <c r="G113" t="inlineStr"/>
      <c r="H113" t="inlineStr"/>
      <c r="I113" t="inlineStr"/>
    </row>
    <row r="114">
      <c r="A114" t="n">
        <v>113</v>
      </c>
      <c r="B114" t="inlineStr">
        <is>
          <t>FTISLAND</t>
        </is>
      </c>
      <c r="C114" t="inlineStr">
        <is>
          <t>loyalty</t>
        </is>
      </c>
      <c r="D114" s="3" t="inlineStr">
        <is>
          <t>2026년 1월 29일 데뷔 19년 만에 FNC엔터테인먼트와 재계약을 체결, 장기 활동 팬덤 관계를 이어가고 있다.</t>
        </is>
      </c>
      <c r="E114" t="inlineStr"/>
      <c r="F114" t="inlineStr">
        <is>
          <t>N</t>
        </is>
      </c>
      <c r="G114" t="inlineStr"/>
      <c r="H114" t="inlineStr"/>
      <c r="I114" t="inlineStr"/>
    </row>
    <row r="115">
      <c r="A115" t="n">
        <v>114</v>
      </c>
      <c r="B115" t="inlineStr">
        <is>
          <t>에픽하이</t>
        </is>
      </c>
      <c r="C115" t="inlineStr">
        <is>
          <t>loyalty</t>
        </is>
      </c>
      <c r="D115" s="3" t="inlineStr">
        <is>
          <t>2년여 만의 북미(미국·캐나다) 투어 발표(2026.10) — LA·뉴욕·오클랜드·밴쿠버·토론토, 'Epik High HQ' 멤버십 프리세일(6.10)</t>
        </is>
      </c>
      <c r="E115" t="inlineStr"/>
      <c r="F115" t="inlineStr">
        <is>
          <t>N</t>
        </is>
      </c>
      <c r="G115" t="inlineStr"/>
      <c r="H115" t="inlineStr"/>
      <c r="I115" t="inlineStr"/>
    </row>
    <row r="116">
      <c r="A116" t="n">
        <v>115</v>
      </c>
      <c r="B116" t="inlineStr">
        <is>
          <t>IKON</t>
        </is>
      </c>
      <c r="C116" t="inlineStr">
        <is>
          <t>spillover</t>
        </is>
      </c>
      <c r="D116" s="3" t="inlineStr">
        <is>
          <t>iKON이 서바이벌 예능 '킹덤: 레전더리 워'에 출연했다.</t>
        </is>
      </c>
      <c r="E116" t="inlineStr"/>
      <c r="F116" t="inlineStr">
        <is>
          <t>N</t>
        </is>
      </c>
      <c r="G116" t="inlineStr"/>
      <c r="H116" t="inlineStr"/>
      <c r="I116" t="inlineStr"/>
    </row>
    <row r="117">
      <c r="A117" t="n">
        <v>116</v>
      </c>
      <c r="B117" t="inlineStr">
        <is>
          <t>CORTIS</t>
        </is>
      </c>
      <c r="C117" t="inlineStr">
        <is>
          <t>loyalty</t>
        </is>
      </c>
      <c r="D117" s="3" t="inlineStr">
        <is>
          <t>코르티스의 데뷔 후 첫 대학축제(고려대 등) 현장에서 떼창과 호응이 뜨거웠고 멤버들의 텐션도 좋아 직캠만 봐도 현장감이 느껴진다는 반응이 SNS에 공유됐다.</t>
        </is>
      </c>
      <c r="E117" t="inlineStr"/>
      <c r="F117" t="inlineStr">
        <is>
          <t>N</t>
        </is>
      </c>
      <c r="G117" t="inlineStr"/>
      <c r="H117" t="inlineStr"/>
      <c r="I117" t="inlineStr"/>
    </row>
    <row r="118">
      <c r="A118" t="n">
        <v>117</v>
      </c>
      <c r="B118" t="inlineStr">
        <is>
          <t>성시경</t>
        </is>
      </c>
      <c r="C118" t="inlineStr">
        <is>
          <t>spillover</t>
        </is>
      </c>
      <c r="D118" s="3" t="inlineStr">
        <is>
          <t>성시경이 동국제약 인사돌플러스의 새 모델로 발탁돼 이보영과 함께 신규 TV-CF를 촬영했다고 팜뉴스가 보도했다.</t>
        </is>
      </c>
      <c r="E118" t="inlineStr"/>
      <c r="F118" t="inlineStr">
        <is>
          <t>N</t>
        </is>
      </c>
      <c r="G118" t="inlineStr"/>
      <c r="H118" t="inlineStr"/>
      <c r="I118" t="inlineStr"/>
    </row>
    <row r="119">
      <c r="A119" t="n">
        <v>118</v>
      </c>
      <c r="B119" t="inlineStr">
        <is>
          <t>지드래곤 (G-Dragon)</t>
        </is>
      </c>
      <c r="C119" t="inlineStr">
        <is>
          <t>spillover</t>
        </is>
      </c>
      <c r="D119" s="3" t="inlineStr">
        <is>
          <t>인포바에가 지드래곤이 11년 만에 첫 솔로 정규앨범을 발매했다는 소식을 보도했다</t>
        </is>
      </c>
      <c r="E119" t="inlineStr"/>
      <c r="F119" t="inlineStr">
        <is>
          <t>N</t>
        </is>
      </c>
      <c r="G119" t="inlineStr"/>
      <c r="H119" t="inlineStr"/>
      <c r="I119" t="inlineStr"/>
    </row>
    <row r="120">
      <c r="A120" t="n">
        <v>119</v>
      </c>
      <c r="B120" t="inlineStr">
        <is>
          <t>로이킴</t>
        </is>
      </c>
      <c r="C120" t="inlineStr">
        <is>
          <t>spillover</t>
        </is>
      </c>
      <c r="D120" s="3" t="inlineStr">
        <is>
          <t>일본 최대 음악 차트·뉴스 매체 오리콘(ORICON NEWS)에 로이킴(ロイ・キム)의 정식 아티스트 프로필 페이지가 개설되어 있다.</t>
        </is>
      </c>
      <c r="E120" t="inlineStr"/>
      <c r="F120" t="inlineStr">
        <is>
          <t>N</t>
        </is>
      </c>
      <c r="G120" t="inlineStr"/>
      <c r="H120" t="inlineStr"/>
      <c r="I120" t="inlineStr"/>
    </row>
    <row r="121">
      <c r="A121" t="n">
        <v>120</v>
      </c>
      <c r="B121" t="inlineStr">
        <is>
          <t>NewJeans</t>
        </is>
      </c>
      <c r="C121" t="inlineStr">
        <is>
          <t>spillover</t>
        </is>
      </c>
      <c r="D121" s="3" t="inlineStr">
        <is>
          <t>포브스코리아 보도에 따르면 뉴진스는 한 해 동안 약 300억 원의 광고 수익을 올렸다(2024년 4월).</t>
        </is>
      </c>
      <c r="E121" t="inlineStr"/>
      <c r="F121" t="inlineStr">
        <is>
          <t>N</t>
        </is>
      </c>
      <c r="G121" t="inlineStr"/>
      <c r="H121" t="inlineStr"/>
      <c r="I121" t="inlineStr"/>
    </row>
    <row r="122">
      <c r="A122" t="n">
        <v>121</v>
      </c>
      <c r="B122" t="inlineStr">
        <is>
          <t>정동원</t>
        </is>
      </c>
      <c r="C122" t="inlineStr">
        <is>
          <t>loyalty</t>
        </is>
      </c>
      <c r="D122" s="3" t="inlineStr">
        <is>
          <t>Fan club "우주총동원" donated ₩13.27 million timed to coincide with his military enlistment cohort date.</t>
        </is>
      </c>
      <c r="E122" t="inlineStr"/>
      <c r="F122" t="inlineStr">
        <is>
          <t>N</t>
        </is>
      </c>
      <c r="G122" t="inlineStr"/>
      <c r="H122" t="inlineStr"/>
      <c r="I122" t="inlineStr"/>
    </row>
    <row r="123">
      <c r="A123" t="n">
        <v>122</v>
      </c>
      <c r="B123" t="inlineStr">
        <is>
          <t>10CM</t>
        </is>
      </c>
      <c r="C123" t="inlineStr">
        <is>
          <t>spillover</t>
        </is>
      </c>
      <c r="D123" s="3" t="inlineStr">
        <is>
          <t>10CM의 "봄이 좋냐"는 2016년 4월 1일 발매 당일 멜론 차트 1위에 올랐다</t>
        </is>
      </c>
      <c r="E123" t="inlineStr"/>
      <c r="F123" t="inlineStr">
        <is>
          <t>N</t>
        </is>
      </c>
      <c r="G123" t="inlineStr"/>
      <c r="H123" t="inlineStr"/>
      <c r="I123" t="inlineStr"/>
    </row>
    <row r="124">
      <c r="A124" t="n">
        <v>123</v>
      </c>
      <c r="B124" t="inlineStr">
        <is>
          <t>조용필</t>
        </is>
      </c>
      <c r="C124" t="inlineStr">
        <is>
          <t>spillover</t>
        </is>
      </c>
      <c r="D124" s="3" t="inlineStr">
        <is>
          <t>조용필은 일화의 음료 '맥콜' 광고 모델로 출연한 이력이 있다 (나무위키 '출연 광고' 항목 기재, 정확한 연도 미상).</t>
        </is>
      </c>
      <c r="E124" t="inlineStr"/>
      <c r="F124" t="inlineStr">
        <is>
          <t>N</t>
        </is>
      </c>
      <c r="G124" t="inlineStr"/>
      <c r="H124" t="inlineStr"/>
      <c r="I124" t="inlineStr"/>
    </row>
    <row r="125">
      <c r="A125" t="n">
        <v>124</v>
      </c>
      <c r="B125" t="inlineStr">
        <is>
          <t>이영지</t>
        </is>
      </c>
      <c r="C125" t="inlineStr">
        <is>
          <t>spillover</t>
        </is>
      </c>
      <c r="D125" s="3" t="inlineStr">
        <is>
          <t>'나가지마' 폰케이스 콜라보 수익금 1억4000만원 전액 기부</t>
        </is>
      </c>
      <c r="E125" t="inlineStr"/>
      <c r="F125" t="inlineStr">
        <is>
          <t>N</t>
        </is>
      </c>
      <c r="G125" t="inlineStr"/>
      <c r="H125" t="inlineStr"/>
      <c r="I125" t="inlineStr"/>
    </row>
    <row r="126">
      <c r="A126" t="n">
        <v>125</v>
      </c>
      <c r="B126" t="inlineStr">
        <is>
          <t>조용필</t>
        </is>
      </c>
      <c r="C126" t="inlineStr">
        <is>
          <t>loyalty</t>
        </is>
      </c>
      <c r="D126" s="3" t="inlineStr">
        <is>
          <t>일본에서도 앨범 누적 판매량이 600만 장을 넘어서며 해외에서도 견고한 팬덤을 확보함.</t>
        </is>
      </c>
      <c r="E126" t="inlineStr"/>
      <c r="F126" t="inlineStr">
        <is>
          <t>N</t>
        </is>
      </c>
      <c r="G126" t="inlineStr"/>
      <c r="H126" t="inlineStr"/>
      <c r="I126" t="inlineStr"/>
    </row>
    <row r="127">
      <c r="A127" t="n">
        <v>126</v>
      </c>
      <c r="B127" t="inlineStr">
        <is>
          <t>청하</t>
        </is>
      </c>
      <c r="C127" t="inlineStr">
        <is>
          <t>spillover</t>
        </is>
      </c>
      <c r="D127" s="3" t="inlineStr">
        <is>
          <t>"Gotta Go"(2019)는 빌보드 선정 '2019년 최고의 K팝 노래 25' 중 3위, '2010년대 최고의 K팝 노래 100' 중 100위에 올랐다. "Stay Tonight"(2020)은 가온 디지털차트 9위, 빌보드 월드 디지털 송즈 차트 4위를 기록했다.</t>
        </is>
      </c>
      <c r="E127" t="inlineStr"/>
      <c r="F127" t="inlineStr">
        <is>
          <t>N</t>
        </is>
      </c>
      <c r="G127" t="inlineStr"/>
      <c r="H127" t="inlineStr"/>
      <c r="I127" t="inlineStr"/>
    </row>
    <row r="128">
      <c r="A128" t="n">
        <v>127</v>
      </c>
      <c r="B128" t="inlineStr">
        <is>
          <t>지드래곤 (G-Dragon)</t>
        </is>
      </c>
      <c r="C128" t="inlineStr">
        <is>
          <t>loyalty</t>
        </is>
      </c>
      <c r="D128" s="3" t="inlineStr">
        <is>
          <t>후쿠오카 야후옥돔 공연에서 5만 명의 관객이 BIGBANG 컬러 응원봉(노란색·빨간색)으로 도쿄돔 전체를 가득 메웠고, 깜짝 생일 케이크 이벤트에도 5만 관객이 함께 축하했다: "5万人が掲げる黄色と赤のBIGBANGペンライトに埋め尽くされたドーム会場を揺らし続けた。" / "特製のバースデーケーキがステージに登場し5万人の観客がお祝いするというサプライズ演出も。"</t>
        </is>
      </c>
      <c r="E128" t="inlineStr"/>
      <c r="F128" t="inlineStr">
        <is>
          <t>N</t>
        </is>
      </c>
      <c r="G128" t="inlineStr"/>
      <c r="H128" t="inlineStr"/>
      <c r="I128" t="inlineStr"/>
    </row>
    <row r="129">
      <c r="A129" t="n">
        <v>128</v>
      </c>
      <c r="B129" t="inlineStr">
        <is>
          <t>NCT</t>
        </is>
      </c>
      <c r="C129" t="inlineStr">
        <is>
          <t>loyalty</t>
        </is>
      </c>
      <c r="D129" s="3" t="inlineStr">
        <is>
          <t>2024년 6월 기준 전체 유닛 음반의 누적 판매량이 4500만장을 넘어서며 K팝 역대 최다 음반 판매 아티스트로 집계됐다.</t>
        </is>
      </c>
      <c r="E129" t="inlineStr"/>
      <c r="F129" t="inlineStr">
        <is>
          <t>N</t>
        </is>
      </c>
      <c r="G129" t="inlineStr"/>
      <c r="H129" t="inlineStr"/>
      <c r="I129" t="inlineStr"/>
    </row>
    <row r="130">
      <c r="A130" t="n">
        <v>129</v>
      </c>
      <c r="B130" t="inlineStr">
        <is>
          <t>NewJeans</t>
        </is>
      </c>
      <c r="C130" t="inlineStr">
        <is>
          <t>spillover</t>
        </is>
      </c>
      <c r="D130" s="3" t="inlineStr">
        <is>
          <t>이날 방송의 시청률은 6.1%(닐슨코리아 집계, 이하 전국 가구 기준)를 기록했다. 특히 멤버들이 뉴진스와 퇴근을 건 게임 배틀에서 최종 승리하며 세리머니로 'Hype Boy(하입 보이)'를 선보이고, 한껏 신난 유선호가 뉴진스와 완벽 호흡을 자랑하는 춤 실력으로 모두를 깜짝 놀라게 하는 장면에서는 최고 시청률이 9.2%까지 올랐다.</t>
        </is>
      </c>
      <c r="E130" t="inlineStr"/>
      <c r="F130" t="inlineStr">
        <is>
          <t>N</t>
        </is>
      </c>
      <c r="G130" t="inlineStr"/>
      <c r="H130" t="inlineStr"/>
      <c r="I130" t="inlineStr"/>
    </row>
    <row r="131">
      <c r="A131" t="n">
        <v>130</v>
      </c>
      <c r="B131" t="inlineStr">
        <is>
          <t>박재범</t>
        </is>
      </c>
      <c r="C131" t="inlineStr">
        <is>
          <t>spillover</t>
        </is>
      </c>
      <c r="D131" s="3" t="inlineStr">
        <is>
          <t>박재범이 데이영(Dayoung)과 협업한 신곡 'Flirty'를 Rolling Stone India가 소개했다.</t>
        </is>
      </c>
      <c r="E131" t="inlineStr"/>
      <c r="F131" t="inlineStr">
        <is>
          <t>N</t>
        </is>
      </c>
      <c r="G131" t="inlineStr"/>
      <c r="H131" t="inlineStr"/>
      <c r="I131" t="inlineStr"/>
    </row>
    <row r="132">
      <c r="A132" t="n">
        <v>131</v>
      </c>
      <c r="B132" t="inlineStr">
        <is>
          <t>sg워너비</t>
        </is>
      </c>
      <c r="C132" t="inlineStr">
        <is>
          <t>spillover</t>
        </is>
      </c>
      <c r="D132" s="3" t="inlineStr">
        <is>
          <t>SG워너비의 "내 사람 : Partner For Life"는 2006년 벅스뮤직 차트에서 9주간 1위(04/07~06/08)를 차지했으며, 같은 해 멜론 연간 차트에서도 1위를 기록했다</t>
        </is>
      </c>
      <c r="E132" t="inlineStr"/>
      <c r="F132" t="inlineStr">
        <is>
          <t>N</t>
        </is>
      </c>
      <c r="G132" t="inlineStr"/>
      <c r="H132" t="inlineStr"/>
      <c r="I132" t="inlineStr"/>
    </row>
    <row r="133">
      <c r="A133" t="n">
        <v>132</v>
      </c>
      <c r="B133" t="inlineStr">
        <is>
          <t>10CM</t>
        </is>
      </c>
      <c r="C133" t="inlineStr">
        <is>
          <t>loyalty</t>
        </is>
      </c>
      <c r="D133" s="3" t="inlineStr">
        <is>
          <t>필리핀 마닐라에서 'Closer To You' 단독 콘서트를 개최했다고 필리핀 매체가 보도</t>
        </is>
      </c>
      <c r="E133" t="inlineStr"/>
      <c r="F133" t="inlineStr">
        <is>
          <t>N</t>
        </is>
      </c>
      <c r="G133" t="inlineStr"/>
      <c r="H133" t="inlineStr"/>
      <c r="I133" t="inlineStr"/>
    </row>
    <row r="134">
      <c r="A134" t="n">
        <v>133</v>
      </c>
      <c r="B134" t="inlineStr">
        <is>
          <t>이승철</t>
        </is>
      </c>
      <c r="C134" t="inlineStr">
        <is>
          <t>spillover</t>
        </is>
      </c>
      <c r="D134" s="3" t="inlineStr">
        <is>
          <t>이승철은 2025년 11월 방송된 KBS2 '옥탑방의 문제아들'에서 자신의 곡들로만 채운 SF 판타지 뮤지컬을 2027년 개막 목표로 기획 중이며 시나리오도 완성됐다고 밝혔고, 배우 박보검을 주연으로 고려했으나 성사되지 않았다고 전했다.</t>
        </is>
      </c>
      <c r="E134" t="inlineStr"/>
      <c r="F134" t="inlineStr">
        <is>
          <t>N</t>
        </is>
      </c>
      <c r="G134" t="inlineStr"/>
      <c r="H134" t="inlineStr"/>
      <c r="I134" t="inlineStr"/>
    </row>
    <row r="135">
      <c r="A135" t="n">
        <v>134</v>
      </c>
      <c r="B135" t="inlineStr">
        <is>
          <t>BABYMONSTER</t>
        </is>
      </c>
      <c r="C135" t="inlineStr">
        <is>
          <t>spillover</t>
        </is>
      </c>
      <c r="D135" s="3" t="inlineStr">
        <is>
          <t>베이비몬스터 데뷔곡 'Batter Up' 뮤직비디오, 공개 24시간만에 2259만뷰를 기록해 K팝 역대 데뷔곡 최다 24시간 조회수 경신</t>
        </is>
      </c>
      <c r="E135" t="inlineStr"/>
      <c r="F135" t="inlineStr">
        <is>
          <t>N</t>
        </is>
      </c>
      <c r="G135" t="inlineStr"/>
      <c r="H135" t="inlineStr"/>
      <c r="I135" t="inlineStr"/>
    </row>
    <row r="136">
      <c r="A136" t="n">
        <v>135</v>
      </c>
      <c r="B136" t="inlineStr">
        <is>
          <t>아이유</t>
        </is>
      </c>
      <c r="C136" t="inlineStr">
        <is>
          <t>spillover</t>
        </is>
      </c>
      <c r="D136" s="3" t="inlineStr">
        <is>
          <t>프랑스 로피시엘이 아이유와의 인터뷰에서 뉴발란스와의 오랜 파트너십, 신보와 투어 계획에 대한 이야기를 전했다.</t>
        </is>
      </c>
      <c r="E136" t="inlineStr"/>
      <c r="F136" t="inlineStr">
        <is>
          <t>N</t>
        </is>
      </c>
      <c r="G136" t="inlineStr"/>
      <c r="H136" t="inlineStr"/>
      <c r="I136" t="inlineStr"/>
    </row>
    <row r="137">
      <c r="A137" t="n">
        <v>136</v>
      </c>
      <c r="B137" t="inlineStr">
        <is>
          <t>STAYC</t>
        </is>
      </c>
      <c r="C137" t="inlineStr">
        <is>
          <t>loyalty</t>
        </is>
      </c>
      <c r="D137" s="3" t="inlineStr">
        <is>
          <t>STAYC가 11월에 일본 데뷔하며 첫 쇼케이스도 개최한다는 음악나탈리 보도</t>
        </is>
      </c>
      <c r="E137" t="inlineStr"/>
      <c r="F137" t="inlineStr">
        <is>
          <t>N</t>
        </is>
      </c>
      <c r="G137" t="inlineStr"/>
      <c r="H137" t="inlineStr"/>
      <c r="I137" t="inlineStr"/>
    </row>
    <row r="138">
      <c r="A138" t="n">
        <v>137</v>
      </c>
      <c r="B138" t="inlineStr">
        <is>
          <t>IKON</t>
        </is>
      </c>
      <c r="C138" t="inlineStr">
        <is>
          <t>spillover</t>
        </is>
      </c>
      <c r="D138" s="3" t="inlineStr">
        <is>
          <t>데뷔앨범 'Welcome Back' 아시아 누적 26만 장 이상 판매, 수록곡 합산 480만 장 이상 판매; 2016-2018년 일본 아레나·돔 투어 누적 약 59만 명 동원</t>
        </is>
      </c>
      <c r="E138" t="inlineStr"/>
      <c r="F138" t="inlineStr">
        <is>
          <t>N</t>
        </is>
      </c>
      <c r="G138" t="inlineStr"/>
      <c r="H138" t="inlineStr"/>
      <c r="I138" t="inlineStr"/>
    </row>
    <row r="139">
      <c r="A139" t="n">
        <v>138</v>
      </c>
      <c r="B139" t="inlineStr">
        <is>
          <t>BTS</t>
        </is>
      </c>
      <c r="C139" t="inlineStr">
        <is>
          <t>loyalty</t>
        </is>
      </c>
      <c r="D139" s="3" t="inlineStr">
        <is>
          <t>BTS 슈가가 세브란스병원에 50억원을 기부한 뒤를 이어 팬덤 아미 명의의 기부 행렬도 이어져 2억원을 넘어섰다.</t>
        </is>
      </c>
      <c r="E139" t="inlineStr"/>
      <c r="F139" t="inlineStr">
        <is>
          <t>N</t>
        </is>
      </c>
      <c r="G139" t="inlineStr"/>
      <c r="H139" t="inlineStr"/>
      <c r="I139" t="inlineStr"/>
    </row>
    <row r="140">
      <c r="A140" t="n">
        <v>139</v>
      </c>
      <c r="B140" t="inlineStr">
        <is>
          <t>최예나</t>
        </is>
      </c>
      <c r="C140" t="inlineStr">
        <is>
          <t>spillover</t>
        </is>
      </c>
      <c r="D140" s="3" t="inlineStr">
        <is>
          <t>스킨케어 브랜드 이옴(뉴셀렉트)이 최예나와 함께 트러블 패치 마스크 캠페인 '패치 미'를 전개했다(2026년 6월).</t>
        </is>
      </c>
      <c r="E140" t="inlineStr"/>
      <c r="F140" t="inlineStr">
        <is>
          <t>N</t>
        </is>
      </c>
      <c r="G140" t="inlineStr"/>
      <c r="H140" t="inlineStr"/>
      <c r="I140" t="inlineStr"/>
    </row>
    <row r="141">
      <c r="A141" t="n">
        <v>140</v>
      </c>
      <c r="B141" t="inlineStr">
        <is>
          <t>다이나믹듀오</t>
        </is>
      </c>
      <c r="C141" t="inlineStr">
        <is>
          <t>spillover</t>
        </is>
      </c>
      <c r="D141" s="3" t="inlineStr">
        <is>
          <t>다이나믹듀오 소속사 아메바컬쳐는 2025년 5월 '쇼미더머니10' 준우승자 신스를 영입했으며, 개코와 같은 팀이었던 인연의 신스는 2025년 11월 다이나믹듀오가 피처링한 데뷔 싱글을 발표했다.</t>
        </is>
      </c>
      <c r="E141" t="inlineStr"/>
      <c r="F141" t="inlineStr">
        <is>
          <t>N</t>
        </is>
      </c>
      <c r="G141" t="inlineStr"/>
      <c r="H141" t="inlineStr"/>
      <c r="I141" t="inlineStr"/>
    </row>
    <row r="142">
      <c r="A142" t="n">
        <v>141</v>
      </c>
      <c r="B142" t="inlineStr">
        <is>
          <t>조용필</t>
        </is>
      </c>
      <c r="C142" t="inlineStr">
        <is>
          <t>spillover</t>
        </is>
      </c>
      <c r="D142" s="3" t="inlineStr">
        <is>
          <t>조용필이 LG전자의 '하이테크 스테레오', '하이파이VTR', '금성미라클TV' 등 가전제품 광고에 출연했다.</t>
        </is>
      </c>
      <c r="E142" t="inlineStr"/>
      <c r="F142" t="inlineStr">
        <is>
          <t>N</t>
        </is>
      </c>
      <c r="G142" t="inlineStr"/>
      <c r="H142" t="inlineStr"/>
      <c r="I142" t="inlineStr"/>
    </row>
    <row r="143">
      <c r="A143" t="n">
        <v>142</v>
      </c>
      <c r="B143" t="inlineStr">
        <is>
          <t>FTISLAND</t>
        </is>
      </c>
      <c r="C143" t="inlineStr">
        <is>
          <t>spillover</t>
        </is>
      </c>
      <c r="D143" s="3" t="inlineStr">
        <is>
          <t>FT아일랜드는 2011년 10월 29일 방영된 Mnet '주간아이돌' 15회, 2012년 3월 14일 34회에 출연하며 초기부터 예능 프로그램에 참여했다.</t>
        </is>
      </c>
      <c r="E143" t="inlineStr"/>
      <c r="F143" t="inlineStr">
        <is>
          <t>N</t>
        </is>
      </c>
      <c r="G143" t="inlineStr"/>
      <c r="H143" t="inlineStr"/>
      <c r="I143" t="inlineStr"/>
    </row>
    <row r="144">
      <c r="A144" t="n">
        <v>143</v>
      </c>
      <c r="B144" t="inlineStr">
        <is>
          <t>ATEEZ</t>
        </is>
      </c>
      <c r="C144" t="inlineStr">
        <is>
          <t>spillover</t>
        </is>
      </c>
      <c r="D144" s="3" t="inlineStr">
        <is>
          <t>'IN YOUR FANTASY' 월드투어의 호주 공연이 2026년 3월 3일 멜버른 로드레이버 아레나, 6일 시드니 쿠도스뱅크 아레나에서 열린다고 Rolling Stone Australia가 보도했다.</t>
        </is>
      </c>
      <c r="E144" t="inlineStr"/>
      <c r="F144" t="inlineStr">
        <is>
          <t>N</t>
        </is>
      </c>
      <c r="G144" t="inlineStr"/>
      <c r="H144" t="inlineStr"/>
      <c r="I144" t="inlineStr"/>
    </row>
    <row r="145">
      <c r="A145" t="n">
        <v>144</v>
      </c>
      <c r="B145" t="inlineStr">
        <is>
          <t>여자친구</t>
        </is>
      </c>
      <c r="C145" t="inlineStr">
        <is>
          <t>spillover</t>
        </is>
      </c>
      <c r="D145" s="3" t="inlineStr">
        <is>
          <t>여자친구는 2018년 '밤'으로 음악방송 10관왕, 2019년 '해야'·'열대야'로 각 6관왕을 달성했으며, '밤'의 뮤직비디오는 공개 1주일 만에 1,300만회 조회수를 기록하고 해당 곡은 빌보드 앨범차트 6위에 올랐다</t>
        </is>
      </c>
      <c r="E145" t="inlineStr"/>
      <c r="F145" t="inlineStr">
        <is>
          <t>N</t>
        </is>
      </c>
      <c r="G145" t="inlineStr"/>
      <c r="H145" t="inlineStr"/>
      <c r="I145" t="inlineStr"/>
    </row>
    <row r="146">
      <c r="A146" t="n">
        <v>145</v>
      </c>
      <c r="B146" t="inlineStr">
        <is>
          <t>RIIZE</t>
        </is>
      </c>
      <c r="C146" t="inlineStr">
        <is>
          <t>spillover</t>
        </is>
      </c>
      <c r="D146" s="3" t="inlineStr">
        <is>
          <t>멕시코 일간지 엘에랄도데멕시코(El Heraldo de México)가 라이즈(RIIZE)가 아르헨티나·칠레·브라질 롤라팔루자에 모두 출연한 최초의 남성 케이팝 그룹이 되었다고 보도했다.</t>
        </is>
      </c>
      <c r="E146" t="inlineStr"/>
      <c r="F146" t="inlineStr">
        <is>
          <t>N</t>
        </is>
      </c>
      <c r="G146" t="inlineStr"/>
      <c r="H146" t="inlineStr"/>
      <c r="I146" t="inlineStr"/>
    </row>
    <row r="147">
      <c r="A147" t="n">
        <v>146</v>
      </c>
      <c r="B147" t="inlineStr">
        <is>
          <t>투어스(TWS)</t>
        </is>
      </c>
      <c r="C147" t="inlineStr">
        <is>
          <t>spillover</t>
        </is>
      </c>
      <c r="D147" s="3" t="inlineStr">
        <is>
          <t>TWS's 2025 Japan arena tour '24/7:WITH:US' ran 13 sold-out shows across six cities (Hiroshima, Aichi, Fukuoka, Miyagi, Osaka, Kanagawa) drawing about 50,000 fans, closing at K-Arena Yokohama on August 9-10, 2025.</t>
        </is>
      </c>
      <c r="E147" t="inlineStr"/>
      <c r="F147" t="inlineStr">
        <is>
          <t>N</t>
        </is>
      </c>
      <c r="G147" t="inlineStr"/>
      <c r="H147" t="inlineStr"/>
      <c r="I147" t="inlineStr"/>
    </row>
    <row r="148">
      <c r="A148" t="n">
        <v>147</v>
      </c>
      <c r="B148" t="inlineStr">
        <is>
          <t>샤이니</t>
        </is>
      </c>
      <c r="C148" t="inlineStr">
        <is>
          <t>spillover</t>
        </is>
      </c>
      <c r="D148" s="3" t="inlineStr">
        <is>
          <t>SHINee performed at Tokyo Dome, Japan on their "SHINee World The Best 2018" tour, their first tour following Jonghyun's death</t>
        </is>
      </c>
      <c r="E148" t="inlineStr"/>
      <c r="F148" t="inlineStr">
        <is>
          <t>N</t>
        </is>
      </c>
      <c r="G148" t="inlineStr"/>
      <c r="H148" t="inlineStr"/>
      <c r="I148" t="inlineStr"/>
    </row>
    <row r="149">
      <c r="A149" t="n">
        <v>148</v>
      </c>
      <c r="B149" t="inlineStr">
        <is>
          <t>케이윌</t>
        </is>
      </c>
      <c r="C149" t="inlineStr">
        <is>
          <t>spillover</t>
        </is>
      </c>
      <c r="D149" s="3" t="inlineStr">
        <is>
          <t>스페인 K팝 매체 BA NA NA가 케이윌이 정규 4집 '想像; Mood Indigo' 후속으로 타이틀곡 '그땐 그댄'을 발표하며 컴백했고 국내 투어를 예고했다고 보도했다.</t>
        </is>
      </c>
      <c r="E149" t="inlineStr"/>
      <c r="F149" t="inlineStr">
        <is>
          <t>N</t>
        </is>
      </c>
      <c r="G149" t="inlineStr"/>
      <c r="H149" t="inlineStr"/>
      <c r="I149" t="inlineStr"/>
    </row>
    <row r="150">
      <c r="A150" s="4" t="n">
        <v>149</v>
      </c>
      <c r="B150" s="4" t="inlineStr">
        <is>
          <t>나훈아</t>
        </is>
      </c>
      <c r="C150" s="4" t="inlineStr">
        <is>
          <t>spillover</t>
        </is>
      </c>
      <c r="D150" s="5" t="inlineStr">
        <is>
          <t>His national retirement tour ran across Incheon (Apr 2024), Daegu (Dec 7-8), Busan (Dec 14-15), concluding in Seoul (Jan 10-12, 2025) as a marquee media event marking the end of a 59-year career.</t>
        </is>
      </c>
      <c r="E150" s="4" t="inlineStr"/>
      <c r="F150" s="4" t="inlineStr">
        <is>
          <t>Y</t>
        </is>
      </c>
      <c r="G150" s="4" t="inlineStr">
        <is>
          <t>Incheon·Daegu·Busan·Seoul (영문 지명)</t>
        </is>
      </c>
      <c r="H150" s="4" t="inlineStr"/>
      <c r="I150" s="4" t="inlineStr"/>
    </row>
    <row r="151">
      <c r="A151" s="4" t="n">
        <v>150</v>
      </c>
      <c r="B151" s="4" t="inlineStr">
        <is>
          <t>싸이</t>
        </is>
      </c>
      <c r="C151" s="4" t="inlineStr">
        <is>
          <t>spillover</t>
        </is>
      </c>
      <c r="D151" s="5" t="inlineStr">
        <is>
          <t>The 2025 "Psy Summer Swag" stop in Uijeongbu (July 5, 2025, ~30,000 attendees) generated an estimated ₩12.9 billion in local economic impact: ₩3.1 billion in direct visitor/staff spending plus ₩9.41 billion in indirect promotional/commercial effects for surrounding businesses</t>
        </is>
      </c>
      <c r="E151" s="4" t="inlineStr"/>
      <c r="F151" s="4" t="inlineStr">
        <is>
          <t>Y</t>
        </is>
      </c>
      <c r="G151" s="4" t="inlineStr">
        <is>
          <t>Uijeongbu (영문 지명)</t>
        </is>
      </c>
      <c r="H151" s="4" t="inlineStr"/>
      <c r="I151" s="4" t="inlineStr"/>
    </row>
    <row r="152">
      <c r="A152" t="n">
        <v>151</v>
      </c>
      <c r="B152" t="inlineStr">
        <is>
          <t>김재중</t>
        </is>
      </c>
      <c r="C152" t="inlineStr">
        <is>
          <t>spillover</t>
        </is>
      </c>
      <c r="D152" s="3" t="inlineStr">
        <is>
          <t>김재중은 2026년 한 인터뷰에서 옛 소속 그룹과의 '완전체' 재결합 가능성에 대해 "재결합이나 이런 건 민감하다", "하고 싶다고 해서 할 수 있는 게 아니다"라며 멤버 각자의 상황을 고려해야 하는 신중한 사안이라는 입장을 밝혔다.</t>
        </is>
      </c>
      <c r="E152" t="inlineStr"/>
      <c r="F152" t="inlineStr">
        <is>
          <t>N</t>
        </is>
      </c>
      <c r="G152" t="inlineStr"/>
      <c r="H152" t="inlineStr"/>
      <c r="I152" t="inlineStr"/>
    </row>
    <row r="153">
      <c r="A153" t="n">
        <v>152</v>
      </c>
      <c r="B153" t="inlineStr">
        <is>
          <t>빅뱅</t>
        </is>
      </c>
      <c r="C153" t="inlineStr">
        <is>
          <t>loyalty</t>
        </is>
      </c>
      <c r="D153" s="3" t="inlineStr">
        <is>
          <t>베트남 매체 뚜오이째(Tuổi Trẻ)도 같은 하노이 콘서트 소식을 독자적으로 보도해 베트남 내 빅뱅 재결합·컴백에 대한 관심을 확인했다.</t>
        </is>
      </c>
      <c r="E153" t="inlineStr"/>
      <c r="F153" t="inlineStr">
        <is>
          <t>N</t>
        </is>
      </c>
      <c r="G153" t="inlineStr"/>
      <c r="H153" t="inlineStr"/>
      <c r="I153" t="inlineStr"/>
    </row>
    <row r="154">
      <c r="A154" t="n">
        <v>153</v>
      </c>
      <c r="B154" t="inlineStr">
        <is>
          <t>이효리</t>
        </is>
      </c>
      <c r="C154" t="inlineStr">
        <is>
          <t>spillover</t>
        </is>
      </c>
      <c r="D154" s="3" t="inlineStr">
        <is>
          <t>국민대학교 학위수여식 축하공연이 '국민대 발칵 뒤집어 놓은 축하공연'이라는 반응을 얻었다.</t>
        </is>
      </c>
      <c r="E154" t="inlineStr"/>
      <c r="F154" t="inlineStr">
        <is>
          <t>N</t>
        </is>
      </c>
      <c r="G154" t="inlineStr"/>
      <c r="H154" t="inlineStr"/>
      <c r="I154" t="inlineStr"/>
    </row>
    <row r="155">
      <c r="A155" t="n">
        <v>154</v>
      </c>
      <c r="B155" t="inlineStr">
        <is>
          <t>BLACKPINK</t>
        </is>
      </c>
      <c r="C155" t="inlineStr">
        <is>
          <t>spillover</t>
        </is>
      </c>
      <c r="D155" s="3" t="inlineStr">
        <is>
          <t>BLACKPINK's "GO" single and "DEADLINE" album (Feb 27, 2026) marked their 11th Billboard Hot 100 entry (surpassing all K-pop girl groups), 5th Billboard 200 entry, and 12th entry on the UK Official Singles Chart (No. 44)</t>
        </is>
      </c>
      <c r="E155" t="inlineStr"/>
      <c r="F155" t="inlineStr">
        <is>
          <t>N</t>
        </is>
      </c>
      <c r="G155" t="inlineStr"/>
      <c r="H155" t="inlineStr"/>
      <c r="I155" t="inlineStr"/>
    </row>
    <row r="156">
      <c r="A156" t="n">
        <v>155</v>
      </c>
      <c r="B156" t="inlineStr">
        <is>
          <t>카더가든</t>
        </is>
      </c>
      <c r="C156" t="inlineStr">
        <is>
          <t>spillover</t>
        </is>
      </c>
      <c r="D156" s="3" t="inlineStr">
        <is>
          <t>2019년 5월 12일·19일 '복면가왕' 102대 가왕전에서 56~72표를 얻어 우승했다</t>
        </is>
      </c>
      <c r="E156" t="inlineStr"/>
      <c r="F156" t="inlineStr">
        <is>
          <t>N</t>
        </is>
      </c>
      <c r="G156" t="inlineStr"/>
      <c r="H156" t="inlineStr"/>
      <c r="I156" t="inlineStr"/>
    </row>
    <row r="157">
      <c r="A157" t="n">
        <v>156</v>
      </c>
      <c r="B157" t="inlineStr">
        <is>
          <t>청하</t>
        </is>
      </c>
      <c r="C157" t="inlineStr">
        <is>
          <t>spillover</t>
        </is>
      </c>
      <c r="D157" s="3" t="inlineStr">
        <is>
          <t>청하가 2019년 LG유플러스의 증강현실 서비스 'U+AR' 광고에 출연했다.</t>
        </is>
      </c>
      <c r="E157" t="inlineStr"/>
      <c r="F157" t="inlineStr">
        <is>
          <t>N</t>
        </is>
      </c>
      <c r="G157" t="inlineStr"/>
      <c r="H157" t="inlineStr"/>
      <c r="I157" t="inlineStr"/>
    </row>
    <row r="158">
      <c r="A158" t="n">
        <v>157</v>
      </c>
      <c r="B158" t="inlineStr">
        <is>
          <t>다비치</t>
        </is>
      </c>
      <c r="C158" t="inlineStr">
        <is>
          <t>loyalty</t>
        </is>
      </c>
      <c r="D158" s="3" t="inlineStr">
        <is>
          <t>콘서트 'TIME CAPSULE : 시간을 잇다' 티켓 오픈 후 이틀 만에 전석 매진(2026)</t>
        </is>
      </c>
      <c r="E158" t="inlineStr"/>
      <c r="F158" t="inlineStr">
        <is>
          <t>N</t>
        </is>
      </c>
      <c r="G158" t="inlineStr"/>
      <c r="H158" t="inlineStr"/>
      <c r="I158" t="inlineStr"/>
    </row>
    <row r="159">
      <c r="A159" t="n">
        <v>158</v>
      </c>
      <c r="B159" t="inlineStr">
        <is>
          <t>EXO</t>
        </is>
      </c>
      <c r="C159" t="inlineStr">
        <is>
          <t>spillover</t>
        </is>
      </c>
      <c r="D159" s="3" t="inlineStr">
        <is>
          <t>EXO's "EXO Planet 6 – EXhOrizon" tour includes stops in Ho Chi Minh City (Vietnam), Bangkok (Thailand), Jakarta (Indonesia), Macau (China), and Nagoya/Osaka (Japan)</t>
        </is>
      </c>
      <c r="E159" t="inlineStr"/>
      <c r="F159" t="inlineStr">
        <is>
          <t>N</t>
        </is>
      </c>
      <c r="G159" t="inlineStr"/>
      <c r="H159" t="inlineStr"/>
      <c r="I159" t="inlineStr"/>
    </row>
    <row r="160">
      <c r="A160" t="n">
        <v>159</v>
      </c>
      <c r="B160" t="inlineStr">
        <is>
          <t>Hearts2Hearts</t>
        </is>
      </c>
      <c r="C160" t="inlineStr">
        <is>
          <t>spillover</t>
        </is>
      </c>
      <c r="D160" s="3" t="inlineStr">
        <is>
          <t>JTBC '아는 형님'(2026.3.14)에 전원 출연</t>
        </is>
      </c>
      <c r="E160" t="inlineStr"/>
      <c r="F160" t="inlineStr">
        <is>
          <t>N</t>
        </is>
      </c>
      <c r="G160" t="inlineStr"/>
      <c r="H160" t="inlineStr"/>
      <c r="I160" t="inlineStr"/>
    </row>
    <row r="161">
      <c r="A161" t="n">
        <v>160</v>
      </c>
      <c r="B161" t="inlineStr">
        <is>
          <t>윤도현</t>
        </is>
      </c>
      <c r="C161" t="inlineStr">
        <is>
          <t>loyalty</t>
        </is>
      </c>
      <c r="D161" s="3" t="inlineStr">
        <is>
          <t>2002 한일 월드컵 당시 '오 필승 코리아'가 폭발적 인기를 얻으며 YB는 단숨에 '국민 밴드'로 급부상해 대중적 지지 기반을 넓혔다.</t>
        </is>
      </c>
      <c r="E161" t="inlineStr"/>
      <c r="F161" t="inlineStr">
        <is>
          <t>N</t>
        </is>
      </c>
      <c r="G161" t="inlineStr"/>
      <c r="H161" t="inlineStr"/>
      <c r="I161" t="inlineStr"/>
    </row>
    <row r="162">
      <c r="A162" t="n">
        <v>161</v>
      </c>
      <c r="B162" t="inlineStr">
        <is>
          <t>브라운아이즈</t>
        </is>
      </c>
      <c r="C162" t="inlineStr">
        <is>
          <t>spillover</t>
        </is>
      </c>
      <c r="D162" s="3" t="inlineStr">
        <is>
          <t>3집 'Two Things Needed for the Same Purpose and 5 Objets'(2008.6.19 발매)는 발매 2일 만에 5만장(2년만의 신기록), 발매 2주 후인 7월8일 한터차트 기준 8만장을 돌파했다</t>
        </is>
      </c>
      <c r="E162" t="inlineStr"/>
      <c r="F162" t="inlineStr">
        <is>
          <t>N</t>
        </is>
      </c>
      <c r="G162" t="inlineStr"/>
      <c r="H162" t="inlineStr"/>
      <c r="I162" t="inlineStr"/>
    </row>
    <row r="163">
      <c r="A163" t="n">
        <v>162</v>
      </c>
      <c r="B163" t="inlineStr">
        <is>
          <t>케이윌</t>
        </is>
      </c>
      <c r="C163" t="inlineStr">
        <is>
          <t>spillover</t>
        </is>
      </c>
      <c r="D163" s="3" t="inlineStr">
        <is>
          <t>일본 티켓 정보 사이트에 따르면 케이윌은 2026년 11월 10일 일본에서 'K-Drama OST Tribute Concert 2026'을 개최할 예정이다.</t>
        </is>
      </c>
      <c r="E163" t="inlineStr"/>
      <c r="F163" t="inlineStr">
        <is>
          <t>N</t>
        </is>
      </c>
      <c r="G163" t="inlineStr"/>
      <c r="H163" t="inlineStr"/>
      <c r="I163" t="inlineStr"/>
    </row>
    <row r="164">
      <c r="A164" t="n">
        <v>163</v>
      </c>
      <c r="B164" t="inlineStr">
        <is>
          <t>RIIZE</t>
        </is>
      </c>
      <c r="C164" t="inlineStr">
        <is>
          <t>spillover</t>
        </is>
      </c>
      <c r="D164" s="3" t="inlineStr">
        <is>
          <t>라이즈, 첫 리얼리티 예능 'BOSS RIIZE' 출연…불꽃 승부욕 발동</t>
        </is>
      </c>
      <c r="E164" t="inlineStr"/>
      <c r="F164" t="inlineStr">
        <is>
          <t>N</t>
        </is>
      </c>
      <c r="G164" t="inlineStr"/>
      <c r="H164" t="inlineStr"/>
      <c r="I164" t="inlineStr"/>
    </row>
    <row r="165">
      <c r="A165" t="n">
        <v>164</v>
      </c>
      <c r="B165" t="inlineStr">
        <is>
          <t>BLACKPINK</t>
        </is>
      </c>
      <c r="C165" t="inlineStr">
        <is>
          <t>loyalty</t>
        </is>
      </c>
      <c r="D165" s="3" t="inlineStr">
        <is>
          <t>The Born Pink World Tour (2022–23) drew 1.8 million total attendees across its run, reflecting sustained ticket demand across markets.</t>
        </is>
      </c>
      <c r="E165" t="inlineStr"/>
      <c r="F165" t="inlineStr">
        <is>
          <t>N</t>
        </is>
      </c>
      <c r="G165" t="inlineStr"/>
      <c r="H165" t="inlineStr"/>
      <c r="I165" t="inlineStr"/>
    </row>
    <row r="166">
      <c r="A166" t="n">
        <v>165</v>
      </c>
      <c r="B166" t="inlineStr">
        <is>
          <t>LE SSERAFIM</t>
        </is>
      </c>
      <c r="C166" t="inlineStr">
        <is>
          <t>loyalty</t>
        </is>
      </c>
      <c r="D166" s="3" t="inlineStr">
        <is>
          <t>르세라핌은 2026년 5월 데뷔 4주년을 맞아 전 세계 피어나와 함께하는 기념 프로젝트 'CELEBRATION'을 진행했다.</t>
        </is>
      </c>
      <c r="E166" t="inlineStr"/>
      <c r="F166" t="inlineStr">
        <is>
          <t>N</t>
        </is>
      </c>
      <c r="G166" t="inlineStr"/>
      <c r="H166" t="inlineStr"/>
      <c r="I166" t="inlineStr"/>
    </row>
    <row r="167">
      <c r="A167" s="4" t="n">
        <v>166</v>
      </c>
      <c r="B167" s="4" t="inlineStr">
        <is>
          <t>송가인</t>
        </is>
      </c>
      <c r="C167" s="4" t="inlineStr">
        <is>
          <t>spillover</t>
        </is>
      </c>
      <c r="D167" s="5" t="inlineStr">
        <is>
          <t>2026년 9월 명량대첩축제의 '명량 트롯나이트' 무대에 출연 예정이며, 군은 그의 인지도를 활용해 대파·구기자·김·전복·홍주 등 지역 특산물 홍보도 함께 추진할 계획이다</t>
        </is>
      </c>
      <c r="E167" s="4" t="inlineStr"/>
      <c r="F167" s="4" t="inlineStr">
        <is>
          <t>Y</t>
        </is>
      </c>
      <c r="G167" s="4" t="inlineStr">
        <is>
          <t>명량대첩축제(전남 해남) — 해남·명량 없음</t>
        </is>
      </c>
      <c r="H167" s="4" t="inlineStr"/>
      <c r="I167" s="4" t="inlineStr"/>
    </row>
    <row r="168">
      <c r="A168" t="n">
        <v>167</v>
      </c>
      <c r="B168" t="inlineStr">
        <is>
          <t>권은비</t>
        </is>
      </c>
      <c r="C168" t="inlineStr">
        <is>
          <t>spillover</t>
        </is>
      </c>
      <c r="D168" s="3" t="inlineStr">
        <is>
          <t>SBS 파워FM '영스트리트' 라디오 DJ로 2023년 7월부터 2024년 8월까지 활동했다</t>
        </is>
      </c>
      <c r="E168" t="inlineStr"/>
      <c r="F168" t="inlineStr">
        <is>
          <t>N</t>
        </is>
      </c>
      <c r="G168" t="inlineStr"/>
      <c r="H168" t="inlineStr"/>
      <c r="I168" t="inlineStr"/>
    </row>
    <row r="169">
      <c r="A169" t="n">
        <v>168</v>
      </c>
      <c r="B169" t="inlineStr">
        <is>
          <t>박재범</t>
        </is>
      </c>
      <c r="C169" t="inlineStr">
        <is>
          <t>loyalty</t>
        </is>
      </c>
      <c r="D169" s="3" t="inlineStr">
        <is>
          <t>박재범이 PSY와 함께 하노이 K-PULSE 2026 음악 축제에 참여한다.</t>
        </is>
      </c>
      <c r="E169" t="inlineStr"/>
      <c r="F169" t="inlineStr">
        <is>
          <t>N</t>
        </is>
      </c>
      <c r="G169" t="inlineStr"/>
      <c r="H169" t="inlineStr"/>
      <c r="I169" t="inlineStr"/>
    </row>
    <row r="170">
      <c r="A170" t="n">
        <v>169</v>
      </c>
      <c r="B170" t="inlineStr">
        <is>
          <t>(여자)아이들</t>
        </is>
      </c>
      <c r="C170" t="inlineStr">
        <is>
          <t>loyalty</t>
        </is>
      </c>
      <c r="D170" s="3" t="inlineStr">
        <is>
          <t>Weibo (CUBE_G-I-DLE official account, Taiwan regional subdomain) posted content around the "말리지 마" (Don't Get Me Wrong) music video release, part of ongoing fan-facing activity on the group's official Weibo channel</t>
        </is>
      </c>
      <c r="E170" t="inlineStr"/>
      <c r="F170" t="inlineStr">
        <is>
          <t>N</t>
        </is>
      </c>
      <c r="G170" t="inlineStr"/>
      <c r="H170" t="inlineStr"/>
      <c r="I170" t="inlineStr"/>
    </row>
    <row r="171">
      <c r="A171" t="n">
        <v>170</v>
      </c>
      <c r="B171" t="inlineStr">
        <is>
          <t>김연자</t>
        </is>
      </c>
      <c r="C171" t="inlineStr">
        <is>
          <t>spillover</t>
        </is>
      </c>
      <c r="D171" s="3" t="inlineStr">
        <is>
          <t>김연자는 일본에서 1999년 제32회 일본작사대상 우수상, 2000년 제21회 마츠오 예술상, 2001년 일본 레코드대상 기획상, 2003년 제36회 일본유선대상 최다 리퀘스트 가수상(TBS-TV 생중계) 등을 수상했다.</t>
        </is>
      </c>
      <c r="E171" t="inlineStr"/>
      <c r="F171" t="inlineStr">
        <is>
          <t>N</t>
        </is>
      </c>
      <c r="G171" t="inlineStr"/>
      <c r="H171" t="inlineStr"/>
      <c r="I171" t="inlineStr"/>
    </row>
    <row r="172">
      <c r="A172" t="n">
        <v>171</v>
      </c>
      <c r="B172" t="inlineStr">
        <is>
          <t>정동원</t>
        </is>
      </c>
      <c r="C172" t="inlineStr">
        <is>
          <t>spillover</t>
        </is>
      </c>
      <c r="D172" s="3" t="inlineStr">
        <is>
          <t>Performed a duet with veteran singer Nam Jin at the 2020 Trot Awards.</t>
        </is>
      </c>
      <c r="E172" t="inlineStr"/>
      <c r="F172" t="inlineStr">
        <is>
          <t>N</t>
        </is>
      </c>
      <c r="G172" t="inlineStr"/>
      <c r="H172" t="inlineStr"/>
      <c r="I172" t="inlineStr"/>
    </row>
    <row r="173">
      <c r="A173" t="n">
        <v>172</v>
      </c>
      <c r="B173" t="inlineStr">
        <is>
          <t>권은비</t>
        </is>
      </c>
      <c r="C173" t="inlineStr">
        <is>
          <t>spillover</t>
        </is>
      </c>
      <c r="D173" s="3" t="inlineStr">
        <is>
          <t>코디한 의상이 공연 못지않게 화제가 되어 패션 매체에서 가성비 코디로 별도 소개됨</t>
        </is>
      </c>
      <c r="E173" t="inlineStr"/>
      <c r="F173" t="inlineStr">
        <is>
          <t>N</t>
        </is>
      </c>
      <c r="G173" t="inlineStr"/>
      <c r="H173" t="inlineStr"/>
      <c r="I173" t="inlineStr"/>
    </row>
    <row r="174">
      <c r="A174" t="n">
        <v>173</v>
      </c>
      <c r="B174" t="inlineStr">
        <is>
          <t>LE SSERAFIM</t>
        </is>
      </c>
      <c r="C174" t="inlineStr">
        <is>
          <t>spillover</t>
        </is>
      </c>
      <c r="D174" s="3" t="inlineStr">
        <is>
          <t>루이비통 하우스 앰버서더, 소니(Sony) 글로벌 앰버서더로 활동하고 있다.</t>
        </is>
      </c>
      <c r="E174" t="inlineStr"/>
      <c r="F174" t="inlineStr">
        <is>
          <t>N</t>
        </is>
      </c>
      <c r="G174" t="inlineStr"/>
      <c r="H174" t="inlineStr"/>
      <c r="I174" t="inlineStr"/>
    </row>
    <row r="175">
      <c r="A175" t="n">
        <v>174</v>
      </c>
      <c r="B175" t="inlineStr">
        <is>
          <t>NCT</t>
        </is>
      </c>
      <c r="C175" t="inlineStr">
        <is>
          <t>spillover</t>
        </is>
      </c>
      <c r="D175" s="3" t="inlineStr">
        <is>
          <t>나무위키 '도영' 문서의 수상 경력에 따르면 도영이 부른 드라마 OST 곡 'Like a Star'는 2022년 태국 TOP TEN AWARDS에서 'Best Artists of K-Drama OST in Thailand' 부문을 수상하며 해외에서 K-드라마 OST 가수로서 인정받았다.</t>
        </is>
      </c>
      <c r="E175" t="inlineStr"/>
      <c r="F175" t="inlineStr">
        <is>
          <t>N</t>
        </is>
      </c>
      <c r="G175" t="inlineStr"/>
      <c r="H175" t="inlineStr"/>
      <c r="I175" t="inlineStr"/>
    </row>
    <row r="176">
      <c r="A176" t="n">
        <v>175</v>
      </c>
      <c r="B176" t="inlineStr">
        <is>
          <t>투어스(TWS)</t>
        </is>
      </c>
      <c r="C176" t="inlineStr">
        <is>
          <t>spillover</t>
        </is>
      </c>
      <c r="D176" s="3" t="inlineStr">
        <is>
          <t>TWS serves as brand ambassadors/models for a wide range of commercial categories simultaneously, including Roobliss (hair brand, first official ambassador), BeginS by JUNGSAEMMOOL (skincare), Jim Beam bourbon whiskey (members Shin-yu and Do-hoon), MLB casual apparel, and CELINE luxury fashion.</t>
        </is>
      </c>
      <c r="E176" t="inlineStr"/>
      <c r="F176" t="inlineStr">
        <is>
          <t>N</t>
        </is>
      </c>
      <c r="G176" t="inlineStr"/>
      <c r="H176" t="inlineStr"/>
      <c r="I176" t="inlineStr"/>
    </row>
    <row r="177">
      <c r="A177" t="n">
        <v>176</v>
      </c>
      <c r="B177" t="inlineStr">
        <is>
          <t>ITZY</t>
        </is>
      </c>
      <c r="C177" t="inlineStr">
        <is>
          <t>spillover</t>
        </is>
      </c>
      <c r="D177" s="3" t="inlineStr">
        <is>
          <t>ITZY는 2026년 호주·뉴질랜드 아레나 투어를 확정하며 해외 진출을 이어갔다.</t>
        </is>
      </c>
      <c r="E177" t="inlineStr"/>
      <c r="F177" t="inlineStr">
        <is>
          <t>N</t>
        </is>
      </c>
      <c r="G177" t="inlineStr"/>
      <c r="H177" t="inlineStr"/>
      <c r="I177" t="inlineStr"/>
    </row>
    <row r="178">
      <c r="A178" t="n">
        <v>177</v>
      </c>
      <c r="B178" t="inlineStr">
        <is>
          <t>10CM</t>
        </is>
      </c>
      <c r="C178" t="inlineStr">
        <is>
          <t>spillover</t>
        </is>
      </c>
      <c r="D178" s="3" t="inlineStr">
        <is>
          <t>한국저작권보호원의 2025년 저작권 보호 캠페인송 '바로지금송'에 보컬로 참여해 공공기관과의 홍보 협업 사례를 남겼다.</t>
        </is>
      </c>
      <c r="E178" t="inlineStr"/>
      <c r="F178" t="inlineStr">
        <is>
          <t>N</t>
        </is>
      </c>
      <c r="G178" t="inlineStr"/>
      <c r="H178" t="inlineStr"/>
      <c r="I178" t="inlineStr"/>
    </row>
    <row r="179">
      <c r="A179" t="n">
        <v>178</v>
      </c>
      <c r="B179" t="inlineStr">
        <is>
          <t>LE SSERAFIM</t>
        </is>
      </c>
      <c r="C179" t="inlineStr">
        <is>
          <t>spillover</t>
        </is>
      </c>
      <c r="D179" s="3" t="inlineStr">
        <is>
          <t>인도네시아 detik.com(wolipop)은 LE SSERAFIM 5인 전원이 2023년 10월 BTS에 이어 루이비통의 하우스 앰버서더로 발탁되었다고 보도했다</t>
        </is>
      </c>
      <c r="E179" t="inlineStr"/>
      <c r="F179" t="inlineStr">
        <is>
          <t>N</t>
        </is>
      </c>
      <c r="G179" t="inlineStr"/>
      <c r="H179" t="inlineStr"/>
      <c r="I179" t="inlineStr"/>
    </row>
    <row r="180">
      <c r="A180" t="n">
        <v>179</v>
      </c>
      <c r="B180" t="inlineStr">
        <is>
          <t>NCT</t>
        </is>
      </c>
      <c r="C180" t="inlineStr">
        <is>
          <t>spillover</t>
        </is>
      </c>
      <c r="D180" s="3" t="inlineStr">
        <is>
          <t>NCT Yuta의 데뷔 미니앨범 'Depth'가 일본에서 41,214장 판매되어 빌보드 재팬 앨범 차트 3위를 기록</t>
        </is>
      </c>
      <c r="E180" t="inlineStr"/>
      <c r="F180" t="inlineStr">
        <is>
          <t>N</t>
        </is>
      </c>
      <c r="G180" t="inlineStr"/>
      <c r="H180" t="inlineStr"/>
      <c r="I180" t="inlineStr"/>
    </row>
    <row r="181">
      <c r="A181" t="n">
        <v>180</v>
      </c>
      <c r="B181" t="inlineStr">
        <is>
          <t>BTOB</t>
        </is>
      </c>
      <c r="C181" t="inlineStr">
        <is>
          <t>loyalty</t>
        </is>
      </c>
      <c r="D181" s="3" t="inlineStr">
        <is>
          <t>2015년 12월 두 번째 단독 콘서트 티켓이 오픈 5분 만에 매진되었다.</t>
        </is>
      </c>
      <c r="E181" t="inlineStr"/>
      <c r="F181" t="inlineStr">
        <is>
          <t>N</t>
        </is>
      </c>
      <c r="G181" t="inlineStr"/>
      <c r="H181" t="inlineStr"/>
      <c r="I181" t="inlineStr"/>
    </row>
    <row r="182">
      <c r="A182" t="n">
        <v>181</v>
      </c>
      <c r="B182" t="inlineStr">
        <is>
          <t>god</t>
        </is>
      </c>
      <c r="C182" t="inlineStr">
        <is>
          <t>loyalty</t>
        </is>
      </c>
      <c r="D182" s="3" t="inlineStr">
        <is>
          <t>g.o.d 대니 안이 2026년 1월 24일 연세대 대강당에서 개인 팬미팅 '2025 Danny's Day [Dan STUDIO]'를 개최한다고 allkpop이 보도했다.</t>
        </is>
      </c>
      <c r="E182" t="inlineStr"/>
      <c r="F182" t="inlineStr">
        <is>
          <t>N</t>
        </is>
      </c>
      <c r="G182" t="inlineStr"/>
      <c r="H182" t="inlineStr"/>
      <c r="I182" t="inlineStr"/>
    </row>
    <row r="183">
      <c r="A183" t="n">
        <v>182</v>
      </c>
      <c r="B183" t="inlineStr">
        <is>
          <t>잔나비</t>
        </is>
      </c>
      <c r="C183" t="inlineStr">
        <is>
          <t>spillover</t>
        </is>
      </c>
      <c r="D183" s="3" t="inlineStr">
        <is>
          <t>2022년 히든싱어 방영 이후 같은 곡이 역주행해 9월 25일 멜론 일간순위 74위까지 재상승했다</t>
        </is>
      </c>
      <c r="E183" t="inlineStr"/>
      <c r="F183" t="inlineStr">
        <is>
          <t>N</t>
        </is>
      </c>
      <c r="G183" t="inlineStr"/>
      <c r="H183" t="inlineStr"/>
      <c r="I183" t="inlineStr"/>
    </row>
    <row r="184">
      <c r="A184" t="n">
        <v>183</v>
      </c>
      <c r="B184" t="inlineStr">
        <is>
          <t>A-pink</t>
        </is>
      </c>
      <c r="C184" t="inlineStr">
        <is>
          <t>spillover</t>
        </is>
      </c>
      <c r="D184" s="3" t="inlineStr">
        <is>
          <t>홍콩01은 Apink 홍콩 공연에서 은지가 그룹을 홍콩에 데려오겠다는 과거 약속을 지켰다고 "恩地實現承諾帶組合來港" 제하로 보도했다.</t>
        </is>
      </c>
      <c r="E184" t="inlineStr"/>
      <c r="F184" t="inlineStr">
        <is>
          <t>N</t>
        </is>
      </c>
      <c r="G184" t="inlineStr"/>
      <c r="H184" t="inlineStr"/>
      <c r="I184" t="inlineStr"/>
    </row>
    <row r="185">
      <c r="A185" t="n">
        <v>184</v>
      </c>
      <c r="B185" t="inlineStr">
        <is>
          <t>NewJeans</t>
        </is>
      </c>
      <c r="C185" t="inlineStr">
        <is>
          <t>spillover</t>
        </is>
      </c>
      <c r="D185" s="3" t="inlineStr">
        <is>
          <t>뉴진스가 2024년 5월 데뷔 후 최다인 7개 대학 축제 무대에 올라 '뜨거운 호응'을 얻었으며, 신곡 발매 시점에 맞춘 출연으로 대중적 친근감을 높였다는 평가를 받았다. 뉴진스는 해당 출연료 전액을 기부해 화제를 더했다.</t>
        </is>
      </c>
      <c r="E185" t="inlineStr"/>
      <c r="F185" t="inlineStr">
        <is>
          <t>N</t>
        </is>
      </c>
      <c r="G185" t="inlineStr"/>
      <c r="H185" t="inlineStr"/>
      <c r="I185" t="inlineStr"/>
    </row>
    <row r="186">
      <c r="A186" t="n">
        <v>185</v>
      </c>
      <c r="B186" t="inlineStr">
        <is>
          <t>GOT7</t>
        </is>
      </c>
      <c r="C186" t="inlineStr">
        <is>
          <t>spillover</t>
        </is>
      </c>
      <c r="D186" s="3" t="inlineStr">
        <is>
          <t>마크(GOT7)는 2020년 중국 시장에서 멘소래담 아크네스(스킨케어)와 함께 중국 최대 통신사 차이나유니콤(China Unicom)의 광고 모델로 활동했다.</t>
        </is>
      </c>
      <c r="E186" t="inlineStr"/>
      <c r="F186" t="inlineStr">
        <is>
          <t>N</t>
        </is>
      </c>
      <c r="G186" t="inlineStr"/>
      <c r="H186" t="inlineStr"/>
      <c r="I186" t="inlineStr"/>
    </row>
    <row r="187">
      <c r="A187" t="n">
        <v>186</v>
      </c>
      <c r="B187" t="inlineStr">
        <is>
          <t>김호중</t>
        </is>
      </c>
      <c r="C187" t="inlineStr">
        <is>
          <t>spillover</t>
        </is>
      </c>
      <c r="D187" s="3" t="inlineStr">
        <is>
          <t>2025.8 국내 유일 민영교도소 '소망교도소'로 이감</t>
        </is>
      </c>
      <c r="E187" t="inlineStr"/>
      <c r="F187" t="inlineStr">
        <is>
          <t>N</t>
        </is>
      </c>
      <c r="G187" t="inlineStr"/>
      <c r="H187" t="inlineStr"/>
      <c r="I187" t="inlineStr"/>
    </row>
    <row r="188">
      <c r="A188" t="n">
        <v>187</v>
      </c>
      <c r="B188" t="inlineStr">
        <is>
          <t>BLACKPINK</t>
        </is>
      </c>
      <c r="C188" t="inlineStr">
        <is>
          <t>spillover</t>
        </is>
      </c>
      <c r="D188" s="3" t="inlineStr">
        <is>
          <t>The "Born Pink" world tour overall grossed approximately $260.6 million with 1.5 million tickets sold, making it the highest-grossing girl-group tour of all time</t>
        </is>
      </c>
      <c r="E188" t="inlineStr"/>
      <c r="F188" t="inlineStr">
        <is>
          <t>N</t>
        </is>
      </c>
      <c r="G188" t="inlineStr"/>
      <c r="H188" t="inlineStr"/>
      <c r="I188" t="inlineStr"/>
    </row>
    <row r="189">
      <c r="A189" t="n">
        <v>188</v>
      </c>
      <c r="B189" t="inlineStr">
        <is>
          <t>TWICE</t>
        </is>
      </c>
      <c r="C189" t="inlineStr">
        <is>
          <t>spillover</t>
        </is>
      </c>
      <c r="D189" s="3" t="inlineStr">
        <is>
          <t>2024년 11월 21일 TWICE는 미국 NFL 목요일 경기 생중계 직후 송출되는 온라인 스트리밍 콘서트 시리즈 '아마존 뮤직 라이브'에 K-Pop 아티스트 최초로 출연했다.</t>
        </is>
      </c>
      <c r="E189" t="inlineStr"/>
      <c r="F189" t="inlineStr">
        <is>
          <t>N</t>
        </is>
      </c>
      <c r="G189" t="inlineStr"/>
      <c r="H189" t="inlineStr"/>
      <c r="I189" t="inlineStr"/>
    </row>
    <row r="190">
      <c r="A190" t="n">
        <v>189</v>
      </c>
      <c r="B190" t="inlineStr">
        <is>
          <t>지드래곤 (G-Dragon)</t>
        </is>
      </c>
      <c r="C190" t="inlineStr">
        <is>
          <t>spillover</t>
        </is>
      </c>
      <c r="D190" s="3" t="inlineStr">
        <is>
          <t>2025년 국내 연예인 추정 연봉 순위에서 지드래곤이 솔로 활동·패션 브랜드·광고 모델 수익으로 약 100억 원 이상을 기록하며 1위로 추정됐다.</t>
        </is>
      </c>
      <c r="E190" t="inlineStr"/>
      <c r="F190" t="inlineStr">
        <is>
          <t>N</t>
        </is>
      </c>
      <c r="G190" t="inlineStr"/>
      <c r="H190" t="inlineStr"/>
      <c r="I190" t="inlineStr"/>
    </row>
    <row r="191">
      <c r="A191" t="n">
        <v>190</v>
      </c>
      <c r="B191" t="inlineStr">
        <is>
          <t>ITZY</t>
        </is>
      </c>
      <c r="C191" t="inlineStr">
        <is>
          <t>spillover</t>
        </is>
      </c>
      <c r="D191" s="3" t="inlineStr">
        <is>
          <t>ITZY는 2024년 'Born to Be' 월드투어의 일환으로 4월 24일 런던 OVO 아레나 웸블리 공연을 열었다고 NME가 보도했다.</t>
        </is>
      </c>
      <c r="E191" t="inlineStr"/>
      <c r="F191" t="inlineStr">
        <is>
          <t>N</t>
        </is>
      </c>
      <c r="G191" t="inlineStr"/>
      <c r="H191" t="inlineStr"/>
      <c r="I191" t="inlineStr"/>
    </row>
    <row r="192">
      <c r="A192" t="n">
        <v>191</v>
      </c>
      <c r="B192" t="inlineStr">
        <is>
          <t>슈퍼주니어</t>
        </is>
      </c>
      <c r="C192" t="inlineStr">
        <is>
          <t>loyalty</t>
        </is>
      </c>
      <c r="D192" s="3" t="inlineStr">
        <is>
          <t>'Super Show 5' 마닐라 콘서트로 필리핀 팬들을 열광시켰다고 오래전부터 보도된 바 있음</t>
        </is>
      </c>
      <c r="E192" t="inlineStr"/>
      <c r="F192" t="inlineStr">
        <is>
          <t>N</t>
        </is>
      </c>
      <c r="G192" t="inlineStr"/>
      <c r="H192" t="inlineStr"/>
      <c r="I192" t="inlineStr"/>
    </row>
    <row r="193">
      <c r="A193" t="n">
        <v>192</v>
      </c>
      <c r="B193" t="inlineStr">
        <is>
          <t>A-pink</t>
        </is>
      </c>
      <c r="C193" t="inlineStr">
        <is>
          <t>loyalty</t>
        </is>
      </c>
      <c r="D193" s="3" t="inlineStr">
        <is>
          <t>Apink 정은지, 태국에서 첫 솔로 단독 콘서트 개최, 감미로운 목소리 선사</t>
        </is>
      </c>
      <c r="E193" t="inlineStr"/>
      <c r="F193" t="inlineStr">
        <is>
          <t>N</t>
        </is>
      </c>
      <c r="G193" t="inlineStr"/>
      <c r="H193" t="inlineStr"/>
      <c r="I193" t="inlineStr"/>
    </row>
    <row r="194">
      <c r="A194" t="n">
        <v>193</v>
      </c>
      <c r="B194" t="inlineStr">
        <is>
          <t>김동률</t>
        </is>
      </c>
      <c r="C194" t="inlineStr">
        <is>
          <t>spillover</t>
        </is>
      </c>
      <c r="D194" s="3" t="inlineStr">
        <is>
          <t>박효신, 이승환, 강수지 등 다른 가수의 앨범에 작곡가로 참여했다.</t>
        </is>
      </c>
      <c r="E194" t="inlineStr"/>
      <c r="F194" t="inlineStr">
        <is>
          <t>N</t>
        </is>
      </c>
      <c r="G194" t="inlineStr"/>
      <c r="H194" t="inlineStr"/>
      <c r="I194" t="inlineStr"/>
    </row>
    <row r="195">
      <c r="A195" t="n">
        <v>194</v>
      </c>
      <c r="B195" t="inlineStr">
        <is>
          <t>NewJeans</t>
        </is>
      </c>
      <c r="C195" t="inlineStr">
        <is>
          <t>spillover</t>
        </is>
      </c>
      <c r="D195" s="3" t="inlineStr">
        <is>
          <t>NME는 NewJeans의 EP 'Get Up'을 리뷰하며 "아무도 이들과 견줄 수 없다(no one can hold a candle to them)"고 호평했다.</t>
        </is>
      </c>
      <c r="E195" t="inlineStr"/>
      <c r="F195" t="inlineStr">
        <is>
          <t>N</t>
        </is>
      </c>
      <c r="G195" t="inlineStr"/>
      <c r="H195" t="inlineStr"/>
      <c r="I195" t="inlineStr"/>
    </row>
    <row r="196">
      <c r="A196" t="n">
        <v>195</v>
      </c>
      <c r="B196" t="inlineStr">
        <is>
          <t>NCT</t>
        </is>
      </c>
      <c r="C196" t="inlineStr">
        <is>
          <t>loyalty</t>
        </is>
      </c>
      <c r="D196" s="3" t="inlineStr">
        <is>
          <t>'NCT 2020 Resonance'가 발매 두 달 만에 260만장 이상 팔리며 당시 SM엔터테인먼트 역대 최고 판매 실물 음반이 되었다.</t>
        </is>
      </c>
      <c r="E196" t="inlineStr"/>
      <c r="F196" t="inlineStr">
        <is>
          <t>N</t>
        </is>
      </c>
      <c r="G196" t="inlineStr"/>
      <c r="H196" t="inlineStr"/>
      <c r="I196" t="inlineStr"/>
    </row>
    <row r="197">
      <c r="A197" t="n">
        <v>196</v>
      </c>
      <c r="B197" t="inlineStr">
        <is>
          <t>HOT</t>
        </is>
      </c>
      <c r="C197" t="inlineStr">
        <is>
          <t>spillover</t>
        </is>
      </c>
      <c r="D197" s="3" t="inlineStr">
        <is>
          <t>H.O.T.는 데뷔 30주년을 맞아 2026년 1월 이커머스 플랫폼 G마켓 광고에 강타·문희준·장우혁·토니안·이재원 5인 완전체로 출연했다.</t>
        </is>
      </c>
      <c r="E197" t="inlineStr"/>
      <c r="F197" t="inlineStr">
        <is>
          <t>N</t>
        </is>
      </c>
      <c r="G197" t="inlineStr"/>
      <c r="H197" t="inlineStr"/>
      <c r="I197" t="inlineStr"/>
    </row>
    <row r="198">
      <c r="A198" t="n">
        <v>197</v>
      </c>
      <c r="B198" t="inlineStr">
        <is>
          <t>이승철</t>
        </is>
      </c>
      <c r="C198" t="inlineStr">
        <is>
          <t>spillover</t>
        </is>
      </c>
      <c r="D198" s="3" t="inlineStr">
        <is>
          <t>이승철은 2014년 중국 베이징에서 첫 단독 콘서트를 성황리에 마쳤다고 국제신문이 보도했다</t>
        </is>
      </c>
      <c r="E198" t="inlineStr"/>
      <c r="F198" t="inlineStr">
        <is>
          <t>N</t>
        </is>
      </c>
      <c r="G198" t="inlineStr"/>
      <c r="H198" t="inlineStr"/>
      <c r="I198" t="inlineStr"/>
    </row>
    <row r="199">
      <c r="A199" t="n">
        <v>198</v>
      </c>
      <c r="B199" t="inlineStr">
        <is>
          <t>아이유</t>
        </is>
      </c>
      <c r="C199" t="inlineStr">
        <is>
          <t>loyalty</t>
        </is>
      </c>
      <c r="D199" s="3" t="inlineStr">
        <is>
          <t>중국 더우반(Douban) 이용자는 "IU真的好真诚 巡演都会翻唱当地的歌曲"("IU는 정말 진실되다, 투어 때마다 현지 노래를 커버한다")라는 제목의 게시글을 올려 IU가 해외 투어 때마다 현지어 노래를 커버하는 성의를 팬 커뮤니티 차원에서 높이 평가했다.</t>
        </is>
      </c>
      <c r="E199" t="inlineStr"/>
      <c r="F199" t="inlineStr">
        <is>
          <t>N</t>
        </is>
      </c>
      <c r="G199" t="inlineStr"/>
      <c r="H199" t="inlineStr"/>
      <c r="I199" t="inlineStr"/>
    </row>
    <row r="200">
      <c r="A200" t="n">
        <v>199</v>
      </c>
      <c r="B200" t="inlineStr">
        <is>
          <t>Stray Kids</t>
        </is>
      </c>
      <c r="C200" t="inlineStr">
        <is>
          <t>loyalty</t>
        </is>
      </c>
      <c r="D200" s="3" t="inlineStr">
        <is>
          <t>'Noeasy' 음반이 110만장 넘게 팔리며 JYP엔터테인먼트 최초의 밀리언셀러 음반을 기록한 아티스트가 되었다.</t>
        </is>
      </c>
      <c r="E200" t="inlineStr"/>
      <c r="F200" t="inlineStr">
        <is>
          <t>N</t>
        </is>
      </c>
      <c r="G200" t="inlineStr"/>
      <c r="H200" t="inlineStr"/>
      <c r="I200" t="inlineStr"/>
    </row>
    <row r="201">
      <c r="A201" t="n">
        <v>200</v>
      </c>
      <c r="B201" t="inlineStr">
        <is>
          <t>아이유</t>
        </is>
      </c>
      <c r="C201" t="inlineStr">
        <is>
          <t>spillover</t>
        </is>
      </c>
      <c r="D201" s="3" t="inlineStr">
        <is>
          <t>일본 매체(amp.nspna.com)는 "IU, 일본에서 신곡 발표…오리콘 차트 9위"("ＩＵ、日本で新曲発表…オリコンチャート9位") 제하 기사에서 IU의 일본 신곡이 오리콘 차트 9위에 올랐다고 보도했다.</t>
        </is>
      </c>
      <c r="E201" t="inlineStr"/>
      <c r="F201" t="inlineStr">
        <is>
          <t>N</t>
        </is>
      </c>
      <c r="G201" t="inlineStr"/>
      <c r="H201" t="inlineStr"/>
      <c r="I201" t="inlineStr"/>
    </row>
  </sheetData>
  <autoFilter ref="A1:I201"/>
  <dataValidations count="1">
    <dataValidation sqref="H2:H201" showDropDown="0" showInputMessage="0" showErrorMessage="0" allowBlank="1" type="list">
      <formula1>"O,X"</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8" customWidth="1" min="1" max="1"/>
    <col width="70" customWidth="1" min="2" max="2"/>
    <col width="40" customWidth="1" min="3" max="3"/>
    <col width="10" customWidth="1" min="4" max="4"/>
    <col width="22" customWidth="1" min="5" max="5"/>
    <col width="30" customWidth="1" min="6" max="6"/>
  </cols>
  <sheetData>
    <row r="1">
      <c r="A1" s="2" t="inlineStr">
        <is>
          <t>지표</t>
        </is>
      </c>
      <c r="B1" s="2" t="inlineStr">
        <is>
          <t>후보 표현(|로 구분)</t>
        </is>
      </c>
      <c r="C1" s="2" t="inlineStr">
        <is>
          <t>근거</t>
        </is>
      </c>
      <c r="D1" s="2" t="inlineStr">
        <is>
          <t>표본에서 본 건수</t>
        </is>
      </c>
      <c r="E1" s="2" t="inlineStr">
        <is>
          <t>저자 판정(O=사전에 넣음/X=제외)</t>
        </is>
      </c>
      <c r="F1" s="2" t="inlineStr">
        <is>
          <t>메모</t>
        </is>
      </c>
    </row>
    <row r="2">
      <c r="A2" t="inlineStr">
        <is>
          <t>광고</t>
        </is>
      </c>
      <c r="B2" t="inlineStr">
        <is>
          <t>brand ambassador|ambassador|endorsement|endorsements|brand model|spokesmodel|promotional face|campaign face</t>
        </is>
      </c>
      <c r="C2" t="inlineStr">
        <is>
          <t>영문 불릿의 상업 계약 신호 — 표본 7건 중 6건</t>
        </is>
      </c>
      <c r="D2" t="n">
        <v>6</v>
      </c>
      <c r="E2" t="inlineStr"/>
      <c r="F2" t="inlineStr"/>
    </row>
    <row r="3">
      <c r="A3" t="inlineStr">
        <is>
          <t>광고</t>
        </is>
      </c>
      <c r="B3" t="inlineStr">
        <is>
          <t>화보 공개|브랜드 화보</t>
        </is>
      </c>
      <c r="C3" t="inlineStr">
        <is>
          <t>'화보 촬영'만 있어 '화보 공개'를 놓침</t>
        </is>
      </c>
      <c r="D3" t="n">
        <v>1</v>
      </c>
      <c r="E3" t="inlineStr"/>
      <c r="F3" t="inlineStr"/>
    </row>
    <row r="4">
      <c r="A4" t="inlineStr">
        <is>
          <t>미디어</t>
        </is>
      </c>
      <c r="B4" t="inlineStr">
        <is>
          <t>런닝맨|아는 형님|나는 가수다|나는가수다|쇼미더머니|히든싱어|미스터트롯|더 팬|아이돌학교|겟잇뷰티|불후의 명곡|유 퀴즈|복면가왕|주간아이돌|킹덤</t>
        </is>
      </c>
      <c r="C4" t="inlineStr">
        <is>
          <t>예능·서바이벌 프로그램명(서브태그 단어 없이 등장)</t>
        </is>
      </c>
      <c r="D4" t="n">
        <v>11</v>
      </c>
      <c r="E4" t="inlineStr"/>
      <c r="F4" t="inlineStr"/>
    </row>
    <row r="5">
      <c r="A5" t="inlineStr">
        <is>
          <t>미디어</t>
        </is>
      </c>
      <c r="B5" t="inlineStr">
        <is>
          <t>라디오|Inter-FM|FM4U|파워FM</t>
        </is>
      </c>
      <c r="C5" t="inlineStr">
        <is>
          <t>라디오 출연·진행</t>
        </is>
      </c>
      <c r="D5" t="n">
        <v>2</v>
      </c>
      <c r="E5" t="inlineStr"/>
      <c r="F5" t="inlineStr"/>
    </row>
    <row r="6">
      <c r="A6" t="inlineStr">
        <is>
          <t>미디어</t>
        </is>
      </c>
      <c r="B6" t="inlineStr">
        <is>
          <t>서바이벌|경연|오디션 프로그램|MC|진행자|심사위원</t>
        </is>
      </c>
      <c r="C6" t="inlineStr">
        <is>
          <t>예능 형식어</t>
        </is>
      </c>
      <c r="D6" t="n">
        <v>3</v>
      </c>
      <c r="E6" t="inlineStr"/>
      <c r="F6" t="inlineStr"/>
    </row>
    <row r="7">
      <c r="A7" t="inlineStr">
        <is>
          <t>미디어</t>
        </is>
      </c>
      <c r="B7" t="inlineStr">
        <is>
          <t>documentary|show|variety|バラエティ|番組|late show</t>
        </is>
      </c>
      <c r="C7" t="inlineStr">
        <is>
          <t>영문·일문 방송 표현</t>
        </is>
      </c>
      <c r="D7" t="n">
        <v>4</v>
      </c>
      <c r="E7" t="inlineStr"/>
      <c r="F7" t="inlineStr"/>
    </row>
    <row r="8">
      <c r="A8" t="inlineStr">
        <is>
          <t>미디어</t>
        </is>
      </c>
      <c r="B8" t="inlineStr">
        <is>
          <t>방송 출연|특집 방송|시청률|V LIVE|브이라이브</t>
        </is>
      </c>
      <c r="C8" t="inlineStr">
        <is>
          <t>방송 노출 일반어</t>
        </is>
      </c>
      <c r="D8" t="n">
        <v>3</v>
      </c>
      <c r="E8" t="inlineStr"/>
      <c r="F8" t="inlineStr"/>
    </row>
    <row r="9">
      <c r="A9" t="inlineStr">
        <is>
          <t>지역</t>
        </is>
      </c>
      <c r="B9" t="inlineStr">
        <is>
          <t>Seoul|Incheon|Daegu|Busan|Gwangju|Daejeon|Ulsan|Uijeongbu|Suwon|Jeju|Gyeonggi|Gangwon</t>
        </is>
      </c>
      <c r="C9" t="inlineStr">
        <is>
          <t>영문 지명 — 표본 6건 중 3건</t>
        </is>
      </c>
      <c r="D9" t="n">
        <v>3</v>
      </c>
      <c r="E9" t="inlineStr"/>
      <c r="F9" t="inlineStr"/>
    </row>
    <row r="10">
      <c r="A10" t="inlineStr">
        <is>
          <t>지역</t>
        </is>
      </c>
      <c r="B10" t="inlineStr">
        <is>
          <t>봉화|철원|해남|명량|경상북도|경상남도|전라북도|충청남도|충청북도|강원도|경기도 광주</t>
        </is>
      </c>
      <c r="C10" t="inlineStr">
        <is>
          <t>사전 밖 군 단위·도 전체명</t>
        </is>
      </c>
      <c r="D10" t="n">
        <v>3</v>
      </c>
      <c r="E10" t="inlineStr"/>
      <c r="F10" t="inlineStr"/>
    </row>
  </sheetData>
  <dataValidations count="1">
    <dataValidation sqref="E2:E10" showDropDown="0" showInputMessage="0" showErrorMessage="0" allowBlank="1" type="list">
      <formula1>"O,X"</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8" customWidth="1" min="1" max="1"/>
    <col width="6" customWidth="1" min="2" max="2"/>
    <col width="8" customWidth="1" min="3" max="3"/>
    <col width="8" customWidth="1" min="4" max="4"/>
    <col width="8" customWidth="1" min="5" max="5"/>
    <col width="8" customWidth="1" min="6" max="6"/>
    <col width="8" customWidth="1" min="7" max="7"/>
    <col width="16" customWidth="1" min="8" max="8"/>
    <col width="16" customWidth="1" min="9" max="9"/>
    <col width="12" customWidth="1" min="10" max="10"/>
    <col width="8" customWidth="1" min="11" max="11"/>
    <col width="8" customWidth="1" min="12" max="12"/>
    <col width="22" customWidth="1" min="13" max="13"/>
  </cols>
  <sheetData>
    <row r="1">
      <c r="A1" s="2" t="inlineStr">
        <is>
          <t>지표</t>
        </is>
      </c>
      <c r="B1" s="2" t="inlineStr">
        <is>
          <t>표본</t>
        </is>
      </c>
      <c r="C1" s="2" t="inlineStr">
        <is>
          <t>모델 Y</t>
        </is>
      </c>
      <c r="D1" s="2" t="inlineStr">
        <is>
          <t>저자 O</t>
        </is>
      </c>
      <c r="E1" s="2" t="inlineStr">
        <is>
          <t>저자 X</t>
        </is>
      </c>
      <c r="F1" s="2" t="inlineStr">
        <is>
          <t>미판정</t>
        </is>
      </c>
      <c r="G1" s="2" t="inlineStr">
        <is>
          <t>Y 중 O</t>
        </is>
      </c>
      <c r="H1" s="2" t="inlineStr">
        <is>
          <t>N 중 X(추가 누락)</t>
        </is>
      </c>
      <c r="I1" s="2" t="inlineStr">
        <is>
          <t>저자 확정 누락 수</t>
        </is>
      </c>
      <c r="J1" s="2" t="inlineStr">
        <is>
          <t>표본 누락 비율</t>
        </is>
      </c>
      <c r="K1" s="2" t="inlineStr">
        <is>
          <t>매칭</t>
        </is>
      </c>
      <c r="L1" s="2" t="inlineStr">
        <is>
          <t>미매칭</t>
        </is>
      </c>
      <c r="M1" s="2" t="inlineStr">
        <is>
          <t>재현율 추정(저자 판정 기준)</t>
        </is>
      </c>
    </row>
    <row r="2">
      <c r="A2" t="inlineStr">
        <is>
          <t>광고</t>
        </is>
      </c>
      <c r="B2" t="n">
        <v>200</v>
      </c>
      <c r="C2">
        <f>COUNTIF('광고'!F2:F201,"Y")</f>
        <v/>
      </c>
      <c r="D2">
        <f>COUNTIF('광고'!H2:H201,"O")</f>
        <v/>
      </c>
      <c r="E2">
        <f>COUNTIF('광고'!H2:H201,"X")</f>
        <v/>
      </c>
      <c r="F2">
        <f>200-D2-E2</f>
        <v/>
      </c>
      <c r="G2">
        <f>COUNTIFS('광고'!F2:F201,"Y",'광고'!H2:H201,"O")</f>
        <v/>
      </c>
      <c r="H2">
        <f>COUNTIFS('광고'!F2:F201,"N",'광고'!H2:H201,"X")</f>
        <v/>
      </c>
      <c r="I2">
        <f>G2+H2</f>
        <v/>
      </c>
      <c r="J2" s="6">
        <f>I2/B2</f>
        <v/>
      </c>
      <c r="K2" t="n">
        <v>1308</v>
      </c>
      <c r="L2" t="n">
        <v>8712</v>
      </c>
      <c r="M2" s="7">
        <f>K2/(K2+L2*J2)</f>
        <v/>
      </c>
    </row>
    <row r="3">
      <c r="A3" t="inlineStr">
        <is>
          <t>미디어</t>
        </is>
      </c>
      <c r="B3" t="n">
        <v>200</v>
      </c>
      <c r="C3">
        <f>COUNTIF('미디어'!F2:F201,"Y")</f>
        <v/>
      </c>
      <c r="D3">
        <f>COUNTIF('미디어'!H2:H201,"O")</f>
        <v/>
      </c>
      <c r="E3">
        <f>COUNTIF('미디어'!H2:H201,"X")</f>
        <v/>
      </c>
      <c r="F3">
        <f>200-D3-E3</f>
        <v/>
      </c>
      <c r="G3">
        <f>COUNTIFS('미디어'!F2:F201,"Y",'미디어'!H2:H201,"O")</f>
        <v/>
      </c>
      <c r="H3">
        <f>COUNTIFS('미디어'!F2:F201,"N",'미디어'!H2:H201,"X")</f>
        <v/>
      </c>
      <c r="I3">
        <f>G3+H3</f>
        <v/>
      </c>
      <c r="J3" s="6">
        <f>I3/B3</f>
        <v/>
      </c>
      <c r="K3" t="n">
        <v>1025</v>
      </c>
      <c r="L3" t="n">
        <v>8995</v>
      </c>
      <c r="M3" s="7">
        <f>K3/(K3+L3*J3)</f>
        <v/>
      </c>
    </row>
    <row r="4">
      <c r="A4" t="inlineStr">
        <is>
          <t>지역</t>
        </is>
      </c>
      <c r="B4" t="n">
        <v>200</v>
      </c>
      <c r="C4">
        <f>COUNTIF('지역'!F2:F201,"Y")</f>
        <v/>
      </c>
      <c r="D4">
        <f>COUNTIF('지역'!H2:H201,"O")</f>
        <v/>
      </c>
      <c r="E4">
        <f>COUNTIF('지역'!H2:H201,"X")</f>
        <v/>
      </c>
      <c r="F4">
        <f>200-D4-E4</f>
        <v/>
      </c>
      <c r="G4">
        <f>COUNTIFS('지역'!F2:F201,"Y",'지역'!H2:H201,"O")</f>
        <v/>
      </c>
      <c r="H4">
        <f>COUNTIFS('지역'!F2:F201,"N",'지역'!H2:H201,"X")</f>
        <v/>
      </c>
      <c r="I4">
        <f>G4+H4</f>
        <v/>
      </c>
      <c r="J4" s="6">
        <f>I4/B4</f>
        <v/>
      </c>
      <c r="K4" t="n">
        <v>940</v>
      </c>
      <c r="L4" t="n">
        <v>9080</v>
      </c>
      <c r="M4" s="7">
        <f>K4/(K4+L4*J4)</f>
        <v/>
      </c>
    </row>
    <row r="6">
      <c r="A6" t="inlineStr">
        <is>
          <t>저자 확정 누락 수 = (모델 Y 중 O) + (모델 N 중 X). 미판정 행은 누락 아님으로 계산된다. 재현율 = 매칭 / (매칭 + 미매칭 × 표본 누락 비율).</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2026-09-23T05:26:40Z</dcterms:created>
  <dcterms:modified xmlns:dcterms="http://purl.org/dc/terms/" xmlns:xsi="http://www.w3.org/2001/XMLSchema-instance" xsi:type="dcterms:W3CDTF">2026-09-23T05:26:40Z</dcterms:modified>
</cp:coreProperties>
</file>