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정의결정" sheetId="2" state="visible" r:id="rId2"/>
    <sheet xmlns:r="http://schemas.openxmlformats.org/officeDocument/2006/relationships" name="광고" sheetId="3" state="visible" r:id="rId3"/>
    <sheet xmlns:r="http://schemas.openxmlformats.org/officeDocument/2006/relationships" name="미디어" sheetId="4" state="visible" r:id="rId4"/>
    <sheet xmlns:r="http://schemas.openxmlformats.org/officeDocument/2006/relationships" name="지역" sheetId="5" state="visible" r:id="rId5"/>
    <sheet xmlns:r="http://schemas.openxmlformats.org/officeDocument/2006/relationships" name="사전후보" sheetId="6" state="visible" r:id="rId6"/>
    <sheet xmlns:r="http://schemas.openxmlformats.org/officeDocument/2006/relationships" name="집계" sheetId="7" state="visible" r:id="rId7"/>
  </sheets>
  <definedNames>
    <definedName name="_xlnm._FilterDatabase" localSheetId="2" hidden="1">'광고'!$A$1:$K$201</definedName>
    <definedName name="_xlnm._FilterDatabase" localSheetId="3" hidden="1">'미디어'!$A$1:$K$201</definedName>
    <definedName name="_xlnm._FilterDatabase" localSheetId="4" hidden="1">'지역'!$A$1:$K$201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sz val="14"/>
    </font>
    <font>
      <b val="1"/>
      <sz val="12"/>
    </font>
    <font>
      <b val="1"/>
    </font>
  </fonts>
  <fills count="5">
    <fill>
      <patternFill/>
    </fill>
    <fill>
      <patternFill patternType="gray125"/>
    </fill>
    <fill>
      <patternFill patternType="solid">
        <fgColor rgb="00E8EEF3"/>
      </patternFill>
    </fill>
    <fill>
      <patternFill patternType="solid">
        <fgColor rgb="00EAF3E6"/>
      </patternFill>
    </fill>
    <fill>
      <patternFill patternType="solid">
        <fgColor rgb="00FFF4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xf numFmtId="0" fontId="0" fillId="3" borderId="0" pivotButton="0" quotePrefix="0" xfId="0"/>
    <xf numFmtId="0" fontId="0" fillId="4" borderId="0" pivotButton="0" quotePrefix="0" xfId="0"/>
    <xf numFmtId="0" fontId="0" fillId="4" borderId="0" applyAlignment="1" pivotButton="0" quotePrefix="0" xfId="0">
      <alignment vertical="top"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보조지표 사전 매칭 누락 검수 — 저자 판정 시트 (옵션 판정판)</t>
        </is>
      </c>
    </row>
    <row r="2">
      <c r="A2" s="2" t="inlineStr"/>
    </row>
    <row r="3">
      <c r="A3" s="3" t="inlineStr">
        <is>
          <t>무엇을 보는가</t>
        </is>
      </c>
    </row>
    <row r="4">
      <c r="A4" s="2" t="inlineStr">
        <is>
          <t>광고·미디어·지역 시트의 문장은 그 지수의 사전에 '잡히지 않은' 불릿 중 무작위 200건이다(seed 0). '모델 판독'은 Claude가 읽고 적은 Y(잡혔어야 함)/N. 노란 행이 Y다.</t>
        </is>
      </c>
    </row>
    <row r="5">
      <c r="A5" s="2" t="inlineStr"/>
    </row>
    <row r="6">
      <c r="A6" s="3" t="inlineStr">
        <is>
          <t>행마다 고르는 판정 옵션 (열 H, 드롭다운)</t>
        </is>
      </c>
    </row>
    <row r="7">
      <c r="A7" s="2" t="inlineStr">
        <is>
          <t>A 누락·사전추가 — 이 지표에 잡혔어야 하고, 열 I '추가할 표현'에 문장에 나온 말 그대로(예: Seoul, 런닝맨, brand ambassador)를 적고, 열 J '집계 대상'에 그 말이 셀 곳을 고른다. 지역은 시·도(Seoul → 서울, 봉화 → 경북), 미디어는 서브태그(런닝맨 → 예능). 광고는 신호 목록 하나라 집계 대상이 없다.</t>
        </is>
      </c>
    </row>
    <row r="8">
      <c r="A8" s="2" t="inlineStr">
        <is>
          <t>B 누락·사전제외 — 잡혔어야 하지만 표현이 일회성·고유명이라 사전에는 넣지 않는다. 누락으로만 집계한다(재현율 추정에 반영).</t>
        </is>
      </c>
    </row>
    <row r="9">
      <c r="A9" s="2" t="inlineStr">
        <is>
          <t>C 경계·정의결정 — 지표 정의를 넓히면 포함되는 사례. 예: 라디오 출연을 '미디어 노출'로 볼지, 영문 지명을 '국내 지역 언급'으로 볼지. 정의결정 시트의 답에 따라 자동으로 A 또는 D로 취급한다.</t>
        </is>
      </c>
    </row>
    <row r="10">
      <c r="A10" s="2" t="inlineStr">
        <is>
          <t>D 아님 — 지표 대상이 아니다. 사전이 맞게 안 잡은 것.</t>
        </is>
      </c>
    </row>
    <row r="11">
      <c r="A11" s="2" t="inlineStr">
        <is>
          <t>E 보류 — 판단 유보. 집계에서는 누락 아님으로 센다.</t>
        </is>
      </c>
    </row>
    <row r="12">
      <c r="A12" s="2" t="inlineStr"/>
    </row>
    <row r="13">
      <c r="A13" s="3" t="inlineStr">
        <is>
          <t>정의결정 시트</t>
        </is>
      </c>
    </row>
    <row r="14">
      <c r="A14" s="2" t="inlineStr">
        <is>
          <t>표본을 읽다 보면 개별 문장보다 '이 지표가 무엇을 재는가'를 정해야 하는 질문이 반복된다. 그 질문 12개를 모아 선택지와 영향을 적었다. 여기 답이 C 판정의 처리와 사전 후보의 채택 범위를 정한다. 권장안은 참고일 뿐이다.</t>
        </is>
      </c>
    </row>
    <row r="15">
      <c r="A15" s="2" t="inlineStr"/>
    </row>
    <row r="16">
      <c r="A16" s="3" t="inlineStr">
        <is>
          <t>사전후보 시트</t>
        </is>
      </c>
    </row>
    <row r="17">
      <c r="A17" s="2" t="inlineStr">
        <is>
          <t>표본 판독에서 나온 후보 9묶음. '처리' 열에서 추가 / 수정해서 추가(수정안 열에 적기) / 제외 / 보류 를 고른다.</t>
        </is>
      </c>
    </row>
    <row r="18">
      <c r="A18" s="2" t="inlineStr"/>
    </row>
    <row r="19">
      <c r="A19" s="3" t="inlineStr">
        <is>
          <t>집계 시트</t>
        </is>
      </c>
    </row>
    <row r="20">
      <c r="A20" s="2" t="inlineStr">
        <is>
          <t>판정 옵션별 건수, 표본 누락 비율, 재현율 추정을 수식으로 계산한다(A+B = 확정 누락, C는 '경계 포함 시' 열에 따로).</t>
        </is>
      </c>
    </row>
    <row r="21">
      <c r="A21" s="2" t="inlineStr"/>
    </row>
    <row r="22">
      <c r="A22" s="3" t="inlineStr">
        <is>
          <t>되돌려 주는 법</t>
        </is>
      </c>
    </row>
    <row r="23">
      <c r="A23" s="2" t="inlineStr">
        <is>
          <t>이 파일을 같은 이름으로 채워 주면 --summarize-xlsx 로 집계하고, A로 확정된 표현과 채택된 후보를 사전 CSV에 넣어 보조지표를 재산출한다. 정의결정 시트의 답은 그 재산출 규칙이 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5" customWidth="1" min="2" max="2"/>
    <col width="40" customWidth="1" min="3" max="3"/>
    <col width="55" customWidth="1" min="4" max="4"/>
    <col width="34" customWidth="1" min="5" max="5"/>
    <col width="34" customWidth="1" min="6" max="6"/>
    <col width="25" customWidth="1" min="7" max="7"/>
  </cols>
  <sheetData>
    <row r="1">
      <c r="A1" s="4" t="inlineStr">
        <is>
          <t>지표</t>
        </is>
      </c>
      <c r="B1" s="4" t="inlineStr">
        <is>
          <t>결정 질문</t>
        </is>
      </c>
      <c r="C1" s="4" t="inlineStr">
        <is>
          <t>선택지</t>
        </is>
      </c>
      <c r="D1" s="4" t="inlineStr">
        <is>
          <t>선택 시 영향</t>
        </is>
      </c>
      <c r="E1" s="4" t="inlineStr">
        <is>
          <t>권장(참고)</t>
        </is>
      </c>
      <c r="F1" s="4" t="inlineStr">
        <is>
          <t>저자 선택</t>
        </is>
      </c>
      <c r="G1" s="4" t="inlineStr">
        <is>
          <t>메모</t>
        </is>
      </c>
    </row>
    <row r="2">
      <c r="A2" s="2" t="inlineStr">
        <is>
          <t>광고</t>
        </is>
      </c>
      <c r="B2" s="2" t="inlineStr">
        <is>
          <t>Q1 영문 불릿의 상업 계약 신호(brand ambassador, endorsement, brand model, spokesmodel, promotional face)를 사전에 넣는가</t>
        </is>
      </c>
      <c r="C2" s="2" t="inlineStr">
        <is>
          <t>· 넣는다(영문 신호 추가)
· 넣지 않는다(한국어 근거만 집계)
· 보류</t>
        </is>
      </c>
      <c r="D2" s="2" t="inlineStr">
        <is>
          <t>표본에서 광고 누락 7건 중 6건이 영문 불릿. 넣으면 광고 불릿 약 +150∼300건(재현율 0.81→0.9대), 영문 근거가 많은 글로벌 팬덤(BTS·BLACKPINK·TWS·aespa 등)의 광고 지수가 오른다.</t>
        </is>
      </c>
      <c r="E2" s="2" t="inlineStr">
        <is>
          <t>넣는다 — 지수 정의(상업 계약 신호)와 같고 언어만 다르므로</t>
        </is>
      </c>
      <c r="F2" s="5" t="inlineStr"/>
      <c r="G2" s="2" t="inlineStr"/>
    </row>
    <row r="3">
      <c r="A3" s="2" t="inlineStr">
        <is>
          <t>광고</t>
        </is>
      </c>
      <c r="B3" s="2" t="inlineStr">
        <is>
          <t>Q2 '화보 공개·화보 촬영·매거진 커버'를 상업 신호로 보는가(현재 '화보 촬영'만)</t>
        </is>
      </c>
      <c r="C3" s="2" t="inlineStr">
        <is>
          <t>· 브랜드와 함께한 화보만 포함
· 화보 전부 포함
· 화보 제외(현행 유지: '화보 촬영'만)</t>
        </is>
      </c>
      <c r="D3" s="2" t="inlineStr">
        <is>
          <t>패션·뷰티 브랜드 화보는 사실상 광고 계약이지만 잡지 표지·컴백 화보는 홍보 활동이다. '브랜드+화보'만 넣으면 소수(표본 1건), 전부 넣으면 미디어 노출과 겹친다.</t>
        </is>
      </c>
      <c r="E3" s="2" t="inlineStr">
        <is>
          <t>브랜드와 함께한 화보만 포함</t>
        </is>
      </c>
      <c r="F3" s="5" t="inlineStr"/>
      <c r="G3" s="2" t="inlineStr"/>
    </row>
    <row r="4">
      <c r="A4" s="2" t="inlineStr">
        <is>
          <t>광고</t>
        </is>
      </c>
      <c r="B4" s="2" t="inlineStr">
        <is>
          <t>Q3 '협업·콜라보·컬래버'(브랜드 협업 상품, 굿즈, 팝업스토어)를 광고·상업성으로 보는가</t>
        </is>
      </c>
      <c r="C4" s="2" t="inlineStr">
        <is>
          <t>· 브랜드·기업 협업만 포함(음악 협업 제외)
· 전부 제외(현행)
· 보류</t>
        </is>
      </c>
      <c r="D4" s="2" t="inlineStr">
        <is>
          <t>'협업'은 미매칭 근접 어휘 1위(154건)지만 대부분 음악 협업(피처링)이다. 브랜드 협업만 넣으려면 '브랜드/기업/제품 + 협업' 같은 조건부 규칙이 필요하다.</t>
        </is>
      </c>
      <c r="E4" s="2" t="inlineStr">
        <is>
          <t>브랜드·기업 협업만 포함 — 단, 조건부 규칙이라 오탐 검수 필요</t>
        </is>
      </c>
      <c r="F4" s="5" t="inlineStr"/>
      <c r="G4" s="2" t="inlineStr"/>
    </row>
    <row r="5">
      <c r="A5" s="2" t="inlineStr">
        <is>
          <t>광고</t>
        </is>
      </c>
      <c r="B5" s="2" t="inlineStr">
        <is>
          <t>Q4 광고 지수 재산출 시 원본 JSON(ad_commercial_index_v7.json)을 교체하는가, 병행 파일로 두는가</t>
        </is>
      </c>
      <c r="C5" s="2" t="inlineStr">
        <is>
          <t>· 병행 파일(v7_1)로 두고 README 표는 병기
· 원본 교체(verify 항목 갱신)
· 보류</t>
        </is>
      </c>
      <c r="D5" s="2" t="inlineStr">
        <is>
          <t>원본 교체는 verify 107항목·README 6절·기술명세 수치가 함께 바뀐다. 병행은 두 판이 공존한다.</t>
        </is>
      </c>
      <c r="E5" s="2" t="inlineStr">
        <is>
          <t>병행 파일 — 최종 보고서 PDF 수치와의 대응을 유지</t>
        </is>
      </c>
      <c r="F5" s="5" t="inlineStr"/>
      <c r="G5" s="2" t="inlineStr"/>
    </row>
    <row r="6">
      <c r="A6" s="2" t="inlineStr">
        <is>
          <t>미디어</t>
        </is>
      </c>
      <c r="B6" s="2" t="inlineStr">
        <is>
          <t>Q5 라디오(라디오 DJ·출연·진행)를 미디어·콘텐츠 노출로 보는가</t>
        </is>
      </c>
      <c r="C6" s="2" t="inlineStr">
        <is>
          <t>· 포함(서브태그 '라디오' 신설)
· 제외(현행: 예능/유튜브/영화/드라마만)
· 보류</t>
        </is>
      </c>
      <c r="D6" s="2" t="inlineStr">
        <is>
          <t>표본 17건 중 2건, 미매칭 근접 어휘 47건. 서브태그를 하나 늘리면 지수 정의(4종)가 5종이 된다.</t>
        </is>
      </c>
      <c r="E6" s="2" t="inlineStr">
        <is>
          <t>포함 — 방송 매체 노출이라는 지수 취지와 같음</t>
        </is>
      </c>
      <c r="F6" s="5" t="inlineStr"/>
      <c r="G6" s="2" t="inlineStr"/>
    </row>
    <row r="7">
      <c r="A7" s="2" t="inlineStr">
        <is>
          <t>미디어</t>
        </is>
      </c>
      <c r="B7" s="2" t="inlineStr">
        <is>
          <t>Q6 서브태그 단어 없이 프로그램명만 나오는 예능·서바이벌(런닝맨·아는 형님·나는 가수다·쇼미더머니·히든싱어·미스터트롯 …)을 어떻게 잡는가</t>
        </is>
      </c>
      <c r="C7" s="2" t="inlineStr">
        <is>
          <t>· 프로그램명 목록을 사전에 추가(목록 유지 필요)
· '출연/MC/심사위원/우승' + 방송사(KBS/MBC/SBS/JTBC/tvN/Mnet) 조합 규칙
· 둘 다
· 현행 유지(안 잡음)</t>
        </is>
      </c>
      <c r="D7" s="2" t="inlineStr">
        <is>
          <t>표본 누락 17건 중 11건이 이 유형. 재현율 0.57의 주원인. 목록은 정확하지만 새 프로그램마다 갱신해야 하고, 조합 규칙은 갱신이 없지만 오탐(뉴스 보도 문장)이 생긴다.</t>
        </is>
      </c>
      <c r="E7" s="2" t="inlineStr">
        <is>
          <t>둘 다 — 목록으로 정확도, 규칙으로 갱신 부담 완화</t>
        </is>
      </c>
      <c r="F7" s="5" t="inlineStr"/>
      <c r="G7" s="2" t="inlineStr"/>
    </row>
    <row r="8">
      <c r="A8" s="2" t="inlineStr">
        <is>
          <t>미디어</t>
        </is>
      </c>
      <c r="B8" s="2" t="inlineStr">
        <is>
          <t>Q7 영문·일문 방송 표현(documentary, variety show, singing-competition show, late show, バラエティ番組)을 넣는가</t>
        </is>
      </c>
      <c r="C8" s="2" t="inlineStr">
        <is>
          <t>· 넣는다
· 넣지 않는다
· 보류</t>
        </is>
      </c>
      <c r="D8" s="2" t="inlineStr">
        <is>
          <t>표본 4건. 광고 Q1과 같은 성격(언어만 다름).</t>
        </is>
      </c>
      <c r="E8" s="2" t="inlineStr">
        <is>
          <t>넣는다</t>
        </is>
      </c>
      <c r="F8" s="5" t="inlineStr"/>
      <c r="G8" s="2" t="inlineStr"/>
    </row>
    <row r="9">
      <c r="A9" s="2" t="inlineStr">
        <is>
          <t>미디어</t>
        </is>
      </c>
      <c r="B9" s="2" t="inlineStr">
        <is>
          <t>Q8 OTT·웹예능·웹드라마·뮤지컬·연극·팟캐스트를 미디어 노출로 보는가</t>
        </is>
      </c>
      <c r="C9" s="2" t="inlineStr">
        <is>
          <t>· OTT·웹예능·웹드라마 포함, 뮤지컬·연극·팟캐스트 제외
· 전부 포함
· 전부 제외(현행)</t>
        </is>
      </c>
      <c r="D9" s="2" t="inlineStr">
        <is>
          <t>OTT 드라마는 '드라마'로 이미 잡히는 경우가 많다. 뮤지컬·연극은 공연(F3 현장경제)에 가깝다.</t>
        </is>
      </c>
      <c r="E9" s="2" t="inlineStr">
        <is>
          <t>OTT·웹예능·웹드라마 포함, 뮤지컬·연극·팟캐스트 제외</t>
        </is>
      </c>
      <c r="F9" s="5" t="inlineStr"/>
      <c r="G9" s="2" t="inlineStr"/>
    </row>
    <row r="10">
      <c r="A10" s="2" t="inlineStr">
        <is>
          <t>지역</t>
        </is>
      </c>
      <c r="B10" s="2" t="inlineStr">
        <is>
          <t>Q9 영문 지명(Seoul, Incheon, Daegu, Busan, Uijeongbu …)을 국내 지역 언급으로 보는가</t>
        </is>
      </c>
      <c r="C10" s="2" t="inlineStr">
        <is>
          <t>· 넣는다(17개 시·도 + 주요 도시 영문 표기)
· 넣지 않는다
· 보류</t>
        </is>
      </c>
      <c r="D10" s="2" t="inlineStr">
        <is>
          <t>표본 6건 중 3건. 영문 불릿의 국내 투어 기사가 잡힌다.</t>
        </is>
      </c>
      <c r="E10" s="2" t="inlineStr">
        <is>
          <t>넣는다</t>
        </is>
      </c>
      <c r="F10" s="5" t="inlineStr"/>
      <c r="G10" s="2" t="inlineStr"/>
    </row>
    <row r="11">
      <c r="A11" s="2" t="inlineStr">
        <is>
          <t>지역</t>
        </is>
      </c>
      <c r="B11" s="2" t="inlineStr">
        <is>
          <t>Q10 사전 밖 군 단위(봉화·철원·해남 …)와 도 전체명(경상북도·전라남도 …)을 넣는가</t>
        </is>
      </c>
      <c r="C11" s="2" t="inlineStr">
        <is>
          <t>· 행정구역 전체 목록(시·군·구 + 도 전체명)으로 교체
· 표본에서 나온 것만 추가
· 현행 유지</t>
        </is>
      </c>
      <c r="D11" s="2" t="inlineStr">
        <is>
          <t>전체 목록은 동음 지명(광주·고성·경주·전주·진주·화성 …)이 늘어 L17의 배제 규칙을 함께 넓혀야 한다.</t>
        </is>
      </c>
      <c r="E11" s="2" t="inlineStr">
        <is>
          <t>표본에서 나온 것만 추가 + 도 전체명 — 동음 확대를 피함</t>
        </is>
      </c>
      <c r="F11" s="5" t="inlineStr"/>
      <c r="G11" s="2" t="inlineStr"/>
    </row>
    <row r="12">
      <c r="A12" s="2" t="inlineStr">
        <is>
          <t>지역</t>
        </is>
      </c>
      <c r="B12" s="2" t="inlineStr">
        <is>
          <t>Q11 대학·경기장·시설명(고려대·잠실·올림픽공원·KSPO돔 …)으로 지역을 유추하는가</t>
        </is>
      </c>
      <c r="C12" s="2" t="inlineStr">
        <is>
          <t>· 유추하지 않는다(현행)
· 주요 시설 → 지역 매핑표를 둔다
· 보류</t>
        </is>
      </c>
      <c r="D12" s="2" t="inlineStr">
        <is>
          <t>시설 매핑은 정확하지만 표를 만들어야 하고 '서울' 편중이 더 커진다.</t>
        </is>
      </c>
      <c r="E12" s="2" t="inlineStr">
        <is>
          <t>유추하지 않는다</t>
        </is>
      </c>
      <c r="F12" s="5" t="inlineStr"/>
      <c r="G12" s="2" t="inlineStr"/>
    </row>
    <row r="13">
      <c r="A13" s="2" t="inlineStr">
        <is>
          <t>공통</t>
        </is>
      </c>
      <c r="B13" s="2" t="inlineStr">
        <is>
          <t>Q12 재산출 결과를 어디까지 반영하는가</t>
        </is>
      </c>
      <c r="C13" s="2" t="inlineStr">
        <is>
          <t>· 지수 JSON/CSV 병행 파일만
· 병행 파일 + README 6절 표 병기
· 원본 교체 + README·verify 갱신</t>
        </is>
      </c>
      <c r="D13" s="2" t="inlineStr">
        <is>
          <t>README 6절의 광고 1,302·미디어 1,025 같은 수치와 검증 107항목이 걸려 있다.</t>
        </is>
      </c>
      <c r="E13" s="2" t="inlineStr">
        <is>
          <t>병행 파일 + README 6절 표 병기</t>
        </is>
      </c>
      <c r="F13" s="5" t="inlineStr"/>
      <c r="G13" s="2" t="inlineStr"/>
    </row>
  </sheetData>
  <dataValidations count="12">
    <dataValidation sqref="F2" showDropDown="0" showInputMessage="0" showErrorMessage="0" allowBlank="1" type="list">
      <formula1>"넣는다(영문 신호 추가),넣지 않는다(한국어 근거만 집계),보류"</formula1>
    </dataValidation>
    <dataValidation sqref="F3" showDropDown="0" showInputMessage="0" showErrorMessage="0" allowBlank="1" type="list">
      <formula1>"브랜드와 함께한 화보만 포함,화보 전부 포함,화보 제외(현행 유지: '화보 촬영'만)"</formula1>
    </dataValidation>
    <dataValidation sqref="F4" showDropDown="0" showInputMessage="0" showErrorMessage="0" allowBlank="1" type="list">
      <formula1>"브랜드·기업 협업만 포함(음악 협업 제외),전부 제외(현행),보류"</formula1>
    </dataValidation>
    <dataValidation sqref="F5" showDropDown="0" showInputMessage="0" showErrorMessage="0" allowBlank="1" type="list">
      <formula1>"병행 파일(v7_1)로 두고 README 표는 병기,원본 교체(verify 항목 갱신),보류"</formula1>
    </dataValidation>
    <dataValidation sqref="F6" showDropDown="0" showInputMessage="0" showErrorMessage="0" allowBlank="1" type="list">
      <formula1>"포함(서브태그 '라디오' 신설),제외(현행: 예능/유튜브/영화/드라마만),보류"</formula1>
    </dataValidation>
    <dataValidation sqref="F7" showDropDown="0" showInputMessage="0" showErrorMessage="0" allowBlank="1" type="list">
      <formula1>"프로그램명 목록을 사전에 추가(목록 유지 필요),'출연/MC/심사위원/우승' + 방송사(KBS/MBC/SBS/JTBC/tvN/Mnet) 조합 규칙,둘 다,현행 유지(안 잡음)"</formula1>
    </dataValidation>
    <dataValidation sqref="F8" showDropDown="0" showInputMessage="0" showErrorMessage="0" allowBlank="1" type="list">
      <formula1>"넣는다,넣지 않는다,보류"</formula1>
    </dataValidation>
    <dataValidation sqref="F9" showDropDown="0" showInputMessage="0" showErrorMessage="0" allowBlank="1" type="list">
      <formula1>"OTT·웹예능·웹드라마 포함, 뮤지컬·연극·팟캐스트 제외,전부 포함,전부 제외(현행)"</formula1>
    </dataValidation>
    <dataValidation sqref="F10" showDropDown="0" showInputMessage="0" showErrorMessage="0" allowBlank="1" type="list">
      <formula1>"넣는다(17개 시·도 + 주요 도시 영문 표기),넣지 않는다,보류"</formula1>
    </dataValidation>
    <dataValidation sqref="F11" showDropDown="0" showInputMessage="0" showErrorMessage="0" allowBlank="1" type="list">
      <formula1>"행정구역 전체 목록(시·군·구 + 도 전체명)으로 교체,표본에서 나온 것만 추가,현행 유지"</formula1>
    </dataValidation>
    <dataValidation sqref="F12" showDropDown="0" showInputMessage="0" showErrorMessage="0" allowBlank="1" type="list">
      <formula1>"유추하지 않는다(현행),주요 시설 → 지역 매핑표를 둔다,보류"</formula1>
    </dataValidation>
    <dataValidation sqref="F13" showDropDown="0" showInputMessage="0" showErrorMessage="0" allowBlank="1" type="list">
      <formula1>"지수 JSON/CSV 병행 파일만,병행 파일 + README 6절 표 병기,원본 교체 + README·verify 갱신"</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88" customWidth="1" min="4" max="4"/>
    <col width="18" customWidth="1" min="5" max="5"/>
    <col width="12" customWidth="1" min="6" max="6"/>
    <col width="38" customWidth="1" min="7" max="7"/>
    <col width="20" customWidth="1" min="8" max="8"/>
    <col width="30" customWidth="1" min="9" max="9"/>
    <col width="30" customWidth="1" min="10" max="10"/>
    <col width="28" customWidth="1" min="11" max="11"/>
  </cols>
  <sheetData>
    <row r="1">
      <c r="A1" s="4" t="inlineStr">
        <is>
          <t>번호</t>
        </is>
      </c>
      <c r="B1" s="4" t="inlineStr">
        <is>
          <t>팬덤</t>
        </is>
      </c>
      <c r="C1" s="4" t="inlineStr">
        <is>
          <t>유형</t>
        </is>
      </c>
      <c r="D1" s="4" t="inlineStr">
        <is>
          <t>문장</t>
        </is>
      </c>
      <c r="E1" s="4" t="inlineStr">
        <is>
          <t>힌트어(사전 밖 유사 표현)</t>
        </is>
      </c>
      <c r="F1" s="4" t="inlineStr">
        <is>
          <t>모델 판독(Y/N)</t>
        </is>
      </c>
      <c r="G1" s="4" t="inlineStr">
        <is>
          <t>판독 사유</t>
        </is>
      </c>
      <c r="H1" s="4" t="inlineStr">
        <is>
          <t>저자 판정(A∼E)</t>
        </is>
      </c>
      <c r="I1" s="4" t="inlineStr">
        <is>
          <t>추가할 표현(A일 때, 문장에 나온 말 그대로)</t>
        </is>
      </c>
      <c r="J1" s="4" t="inlineStr">
        <is>
          <t>집계 대상(A일 때: 지역=시·도, 미디어=서브태그)</t>
        </is>
      </c>
      <c r="K1" s="4" t="inlineStr">
        <is>
          <t>메모</t>
        </is>
      </c>
    </row>
    <row r="2">
      <c r="A2" t="n">
        <v>1</v>
      </c>
      <c r="B2" t="inlineStr">
        <is>
          <t>(여자)아이들</t>
        </is>
      </c>
      <c r="C2" t="inlineStr">
        <is>
          <t>loyalty</t>
        </is>
      </c>
      <c r="D2" s="2" t="inlineStr">
        <is>
          <t>(여자)아이들의 네 번째 월드투어 'Syncopation' 마카오 공연 추가 회차는 2026년 예매 시작 직후 매진됐다.</t>
        </is>
      </c>
      <c r="E2" t="inlineStr"/>
      <c r="F2" t="inlineStr">
        <is>
          <t>N</t>
        </is>
      </c>
      <c r="G2" t="inlineStr"/>
      <c r="H2" s="6" t="inlineStr"/>
      <c r="I2" t="inlineStr"/>
      <c r="J2" t="inlineStr">
        <is>
          <t>(해당 없음)</t>
        </is>
      </c>
      <c r="K2" t="inlineStr"/>
    </row>
    <row r="3">
      <c r="A3" t="n">
        <v>2</v>
      </c>
      <c r="B3" t="inlineStr">
        <is>
          <t>프로미스나인</t>
        </is>
      </c>
      <c r="C3" t="inlineStr">
        <is>
          <t>loyalty</t>
        </is>
      </c>
      <c r="D3" s="2" t="inlineStr">
        <is>
          <t>프로미스나인의 플레디스 계약 종료(결별) 소식이 YesAsia.ru에 보도됨</t>
        </is>
      </c>
      <c r="E3" t="inlineStr"/>
      <c r="F3" t="inlineStr">
        <is>
          <t>N</t>
        </is>
      </c>
      <c r="G3" t="inlineStr"/>
      <c r="H3" s="6" t="inlineStr"/>
      <c r="I3" t="inlineStr"/>
      <c r="J3" t="inlineStr">
        <is>
          <t>(해당 없음)</t>
        </is>
      </c>
      <c r="K3" t="inlineStr"/>
    </row>
    <row r="4">
      <c r="A4" t="n">
        <v>3</v>
      </c>
      <c r="B4" t="inlineStr">
        <is>
          <t>임영웅</t>
        </is>
      </c>
      <c r="C4" t="inlineStr">
        <is>
          <t>spillover</t>
        </is>
      </c>
      <c r="D4" s="2" t="inlineStr">
        <is>
          <t>임영웅, SBS와 손잡고 예능 복귀…컴백 효과 극대화 노리는 전략 보도</t>
        </is>
      </c>
      <c r="E4" t="inlineStr"/>
      <c r="F4" t="inlineStr">
        <is>
          <t>N</t>
        </is>
      </c>
      <c r="G4" t="inlineStr"/>
      <c r="H4" s="6" t="inlineStr"/>
      <c r="I4" t="inlineStr"/>
      <c r="J4" t="inlineStr">
        <is>
          <t>(해당 없음)</t>
        </is>
      </c>
      <c r="K4" t="inlineStr"/>
    </row>
    <row r="5">
      <c r="A5" t="n">
        <v>4</v>
      </c>
      <c r="B5" t="inlineStr">
        <is>
          <t>BTS</t>
        </is>
      </c>
      <c r="C5" t="inlineStr">
        <is>
          <t>loyalty</t>
        </is>
      </c>
      <c r="D5" s="2" t="inlineStr">
        <is>
          <t>월드투어 'ARIRANG'으로 브라질에서 3회 공연을 개최하며 티켓 판매 소식이 브라질 매체에 대대적으로 보도됨</t>
        </is>
      </c>
      <c r="E5" t="inlineStr"/>
      <c r="F5" t="inlineStr">
        <is>
          <t>N</t>
        </is>
      </c>
      <c r="G5" t="inlineStr"/>
      <c r="H5" s="6" t="inlineStr"/>
      <c r="I5" t="inlineStr"/>
      <c r="J5" t="inlineStr">
        <is>
          <t>(해당 없음)</t>
        </is>
      </c>
      <c r="K5" t="inlineStr"/>
    </row>
    <row r="6">
      <c r="A6" t="n">
        <v>5</v>
      </c>
      <c r="B6" t="inlineStr">
        <is>
          <t>박서진</t>
        </is>
      </c>
      <c r="C6" t="inlineStr">
        <is>
          <t>loyalty</t>
        </is>
      </c>
      <c r="D6" s="2" t="inlineStr">
        <is>
          <t>산불 기부로 닻별의 누적 기부액은 1억 2,800만 원을 기록하며 '착한팬클럽 골드' 등급을 재확인했다.</t>
        </is>
      </c>
      <c r="E6" t="inlineStr"/>
      <c r="F6" t="inlineStr">
        <is>
          <t>N</t>
        </is>
      </c>
      <c r="G6" t="inlineStr"/>
      <c r="H6" s="6" t="inlineStr"/>
      <c r="I6" t="inlineStr"/>
      <c r="J6" t="inlineStr">
        <is>
          <t>(해당 없음)</t>
        </is>
      </c>
      <c r="K6" t="inlineStr"/>
    </row>
    <row r="7">
      <c r="A7" t="n">
        <v>6</v>
      </c>
      <c r="B7" t="inlineStr">
        <is>
          <t>Hearts2Hearts</t>
        </is>
      </c>
      <c r="C7" t="inlineStr">
        <is>
          <t>spillover</t>
        </is>
      </c>
      <c r="D7" s="2" t="inlineStr">
        <is>
          <t>2025년 각종 시상식에서 신인상을 7회 수상했다.</t>
        </is>
      </c>
      <c r="E7" t="inlineStr"/>
      <c r="F7" t="inlineStr">
        <is>
          <t>N</t>
        </is>
      </c>
      <c r="G7" t="inlineStr"/>
      <c r="H7" s="6" t="inlineStr"/>
      <c r="I7" t="inlineStr"/>
      <c r="J7" t="inlineStr">
        <is>
          <t>(해당 없음)</t>
        </is>
      </c>
      <c r="K7" t="inlineStr"/>
    </row>
    <row r="8">
      <c r="A8" t="n">
        <v>7</v>
      </c>
      <c r="B8" t="inlineStr">
        <is>
          <t>ITZY</t>
        </is>
      </c>
      <c r="C8" t="inlineStr">
        <is>
          <t>spillover</t>
        </is>
      </c>
      <c r="D8" s="2" t="inlineStr">
        <is>
          <t>멕시코 매체 Bitácora CDMX가 있지가 2024년 4월 15일 멕시코시티 페시 센터 WTC에서 'BORN TO BE' 월드투어 공연을 연다고 보도했다.</t>
        </is>
      </c>
      <c r="E8" t="inlineStr"/>
      <c r="F8" t="inlineStr">
        <is>
          <t>N</t>
        </is>
      </c>
      <c r="G8" t="inlineStr"/>
      <c r="H8" s="6" t="inlineStr"/>
      <c r="I8" t="inlineStr"/>
      <c r="J8" t="inlineStr">
        <is>
          <t>(해당 없음)</t>
        </is>
      </c>
      <c r="K8" t="inlineStr"/>
    </row>
    <row r="9">
      <c r="A9" t="n">
        <v>8</v>
      </c>
      <c r="B9" t="inlineStr">
        <is>
          <t>동방신기</t>
        </is>
      </c>
      <c r="C9" t="inlineStr">
        <is>
          <t>spillover</t>
        </is>
      </c>
      <c r="D9" s="2" t="inlineStr">
        <is>
          <t>스페인 기반 케이팝 블로그 '바나나(BA NA NA)'가 동방신기의 컴백곡 'Love Line' 뮤직비디오를 리뷰하며, SM엔터테인먼트가 영상 속 세계지도에서 일본이 누락된 사실이 팬들에게 발견된 뒤 영상을 일시적으로 내렸다고 전했다.</t>
        </is>
      </c>
      <c r="E9" t="inlineStr"/>
      <c r="F9" t="inlineStr">
        <is>
          <t>N</t>
        </is>
      </c>
      <c r="G9" t="inlineStr"/>
      <c r="H9" s="6" t="inlineStr"/>
      <c r="I9" t="inlineStr"/>
      <c r="J9" t="inlineStr">
        <is>
          <t>(해당 없음)</t>
        </is>
      </c>
      <c r="K9" t="inlineStr"/>
    </row>
    <row r="10">
      <c r="A10" t="n">
        <v>9</v>
      </c>
      <c r="B10" t="inlineStr">
        <is>
          <t>마마무</t>
        </is>
      </c>
      <c r="C10" t="inlineStr">
        <is>
          <t>spillover</t>
        </is>
      </c>
      <c r="D10" s="2" t="inlineStr">
        <is>
          <t>MAMAMOO announced their 2026 "4WARD" world tour — 13 stops including Seoul (June 19-21), marking their first group comeback/tour in about 4 years, tied to their 12th debut anniversary.</t>
        </is>
      </c>
      <c r="E10" t="inlineStr"/>
      <c r="F10" t="inlineStr">
        <is>
          <t>N</t>
        </is>
      </c>
      <c r="G10" t="inlineStr"/>
      <c r="H10" s="6" t="inlineStr"/>
      <c r="I10" t="inlineStr"/>
      <c r="J10" t="inlineStr">
        <is>
          <t>(해당 없음)</t>
        </is>
      </c>
      <c r="K10" t="inlineStr"/>
    </row>
    <row r="11">
      <c r="A11" t="n">
        <v>10</v>
      </c>
      <c r="B11" t="inlineStr">
        <is>
          <t>NewJeans</t>
        </is>
      </c>
      <c r="C11" t="inlineStr">
        <is>
          <t>loyalty</t>
        </is>
      </c>
      <c r="D11" s="2" t="inlineStr">
        <is>
          <t>ADOR extended all Bunnies fan club memberships by 365 days automatically on March 25, 2026, framed as "appreciation for continued support" amid ongoing legal disputes involving member Danielle - fan reaction was mixed, with many demanding clarity on her status</t>
        </is>
      </c>
      <c r="E11" t="inlineStr"/>
      <c r="F11" t="inlineStr">
        <is>
          <t>N</t>
        </is>
      </c>
      <c r="G11" t="inlineStr"/>
      <c r="H11" s="6" t="inlineStr"/>
      <c r="I11" t="inlineStr"/>
      <c r="J11" t="inlineStr">
        <is>
          <t>(해당 없음)</t>
        </is>
      </c>
      <c r="K11" t="inlineStr"/>
    </row>
    <row r="12">
      <c r="A12" t="n">
        <v>11</v>
      </c>
      <c r="B12" t="inlineStr">
        <is>
          <t>빅마마</t>
        </is>
      </c>
      <c r="C12" t="inlineStr">
        <is>
          <t>loyalty</t>
        </is>
      </c>
      <c r="D12" s="2" t="inlineStr">
        <is>
          <t>멤버 이영현·신연아·이지영·박민혜는 2021년 6월 디지털 싱글로 9년 만에 완전체로 재결합했다.</t>
        </is>
      </c>
      <c r="E12" t="inlineStr"/>
      <c r="F12" t="inlineStr">
        <is>
          <t>N</t>
        </is>
      </c>
      <c r="G12" t="inlineStr"/>
      <c r="H12" s="6" t="inlineStr"/>
      <c r="I12" t="inlineStr"/>
      <c r="J12" t="inlineStr">
        <is>
          <t>(해당 없음)</t>
        </is>
      </c>
      <c r="K12" t="inlineStr"/>
    </row>
    <row r="13">
      <c r="A13" t="n">
        <v>12</v>
      </c>
      <c r="B13" t="inlineStr">
        <is>
          <t>GOT7</t>
        </is>
      </c>
      <c r="C13" t="inlineStr">
        <is>
          <t>spillover</t>
        </is>
      </c>
      <c r="D13" s="2" t="inlineStr">
        <is>
          <t>진영은 2019년 tvN 드라마 'He Is Psychometric'으로 첫 주연을 맡은 이후 'Yumi's Cells', 'The Witch', 'Our Unwritten Seoul' 등 다수의 드라마에서 연이어 주연을 맡으며 배우로서 입지를 다졌다.</t>
        </is>
      </c>
      <c r="E13" t="inlineStr"/>
      <c r="F13" t="inlineStr">
        <is>
          <t>N</t>
        </is>
      </c>
      <c r="G13" t="inlineStr"/>
      <c r="H13" s="6" t="inlineStr"/>
      <c r="I13" t="inlineStr"/>
      <c r="J13" t="inlineStr">
        <is>
          <t>(해당 없음)</t>
        </is>
      </c>
      <c r="K13" t="inlineStr"/>
    </row>
    <row r="14">
      <c r="A14" t="n">
        <v>13</v>
      </c>
      <c r="B14" t="inlineStr">
        <is>
          <t>10CM</t>
        </is>
      </c>
      <c r="C14" t="inlineStr">
        <is>
          <t>loyalty</t>
        </is>
      </c>
      <c r="D14" s="2" t="inlineStr">
        <is>
          <t>2020년 진행한 온라인 단독 공연 'Hotel room 1010'은 국내 비아이돌 아티스트 최초의 유료 온라인 콘서트로 기록되며 팬들의 결제 의향을 입증했다.</t>
        </is>
      </c>
      <c r="E14" t="inlineStr"/>
      <c r="F14" t="inlineStr">
        <is>
          <t>N</t>
        </is>
      </c>
      <c r="G14" t="inlineStr"/>
      <c r="H14" s="6" t="inlineStr"/>
      <c r="I14" t="inlineStr"/>
      <c r="J14" t="inlineStr">
        <is>
          <t>(해당 없음)</t>
        </is>
      </c>
      <c r="K14" t="inlineStr"/>
    </row>
    <row r="15">
      <c r="A15" t="n">
        <v>14</v>
      </c>
      <c r="B15" t="inlineStr">
        <is>
          <t>Stray Kids</t>
        </is>
      </c>
      <c r="C15" t="inlineStr">
        <is>
          <t>spillover</t>
        </is>
      </c>
      <c r="D15" s="2" t="inlineStr">
        <is>
          <t>La revista TIME eligió el tema "Back Door" como una de las mejores canciones de 2020, posicionándolos como una de las bandas más prometedores de la década.</t>
        </is>
      </c>
      <c r="E15" t="inlineStr"/>
      <c r="F15" t="inlineStr">
        <is>
          <t>N</t>
        </is>
      </c>
      <c r="G15" t="inlineStr"/>
      <c r="H15" s="6" t="inlineStr"/>
      <c r="I15" t="inlineStr"/>
      <c r="J15" t="inlineStr">
        <is>
          <t>(해당 없음)</t>
        </is>
      </c>
      <c r="K15" t="inlineStr"/>
    </row>
    <row r="16">
      <c r="A16" t="n">
        <v>15</v>
      </c>
      <c r="B16" t="inlineStr">
        <is>
          <t>10CM</t>
        </is>
      </c>
      <c r="C16" t="inlineStr">
        <is>
          <t>loyalty</t>
        </is>
      </c>
      <c r="D16" s="2" t="inlineStr">
        <is>
          <t>2013년 2월 23일 인디밴드 최초로 서울 올림픽공원 체조경기장에서 단독 공연을 열었다</t>
        </is>
      </c>
      <c r="E16" t="inlineStr"/>
      <c r="F16" t="inlineStr">
        <is>
          <t>N</t>
        </is>
      </c>
      <c r="G16" t="inlineStr"/>
      <c r="H16" s="6" t="inlineStr"/>
      <c r="I16" t="inlineStr"/>
      <c r="J16" t="inlineStr">
        <is>
          <t>(해당 없음)</t>
        </is>
      </c>
      <c r="K16" t="inlineStr"/>
    </row>
    <row r="17">
      <c r="A17" t="n">
        <v>16</v>
      </c>
      <c r="B17" t="inlineStr">
        <is>
          <t>잭스키스</t>
        </is>
      </c>
      <c r="C17" t="inlineStr">
        <is>
          <t>spillover</t>
        </is>
      </c>
      <c r="D17" s="2" t="inlineStr">
        <is>
          <t>Documentary "Sechskies Eighteen" (2018) ranked #1 in Korean seat sales for February 2018, selling 91.4% of available seats and topping 50,000 tickets sold by March 2018.</t>
        </is>
      </c>
      <c r="E17" t="inlineStr"/>
      <c r="F17" t="inlineStr">
        <is>
          <t>N</t>
        </is>
      </c>
      <c r="G17" t="inlineStr"/>
      <c r="H17" s="6" t="inlineStr"/>
      <c r="I17" t="inlineStr"/>
      <c r="J17" t="inlineStr">
        <is>
          <t>(해당 없음)</t>
        </is>
      </c>
      <c r="K17" t="inlineStr"/>
    </row>
    <row r="18">
      <c r="A18" t="n">
        <v>17</v>
      </c>
      <c r="B18" t="inlineStr">
        <is>
          <t>잔나비</t>
        </is>
      </c>
      <c r="C18" t="inlineStr">
        <is>
          <t>spillover</t>
        </is>
      </c>
      <c r="D18" s="2" t="inlineStr">
        <is>
          <t>잔나비는 2024년 8월 31일~9월 1일, 9월 7~8일 서울 잠실실내체육관에서 데뷔 10주년 기념 콘서트 '판타스틱 올드 패션드 2024: 무비 스타 라이징'을 60~70년대 흑백영화 콘셉트의 3시간 공연으로 총 4회 열었고, 관객 전원이 일어나 열광적으로 호응했다고 보도됐다.</t>
        </is>
      </c>
      <c r="E18" t="inlineStr"/>
      <c r="F18" t="inlineStr">
        <is>
          <t>N</t>
        </is>
      </c>
      <c r="G18" t="inlineStr"/>
      <c r="H18" s="6" t="inlineStr"/>
      <c r="I18" t="inlineStr"/>
      <c r="J18" t="inlineStr">
        <is>
          <t>(해당 없음)</t>
        </is>
      </c>
      <c r="K18" t="inlineStr"/>
    </row>
    <row r="19">
      <c r="A19" t="n">
        <v>18</v>
      </c>
      <c r="B19" t="inlineStr">
        <is>
          <t>카더가든</t>
        </is>
      </c>
      <c r="C19" t="inlineStr">
        <is>
          <t>spillover</t>
        </is>
      </c>
      <c r="D19" s="2" t="inlineStr">
        <is>
          <t>넷플릭스 &lt;모태솔로지만 연애는 하고 싶어&gt;, 쿠팡플레이 &lt;직장인들&gt;... 어느덧 카더가든은 예능 신성으로 부상했다. 섭외 경쟁이 치열할 수밖에 없는 이유다</t>
        </is>
      </c>
      <c r="E19" t="inlineStr"/>
      <c r="F19" t="inlineStr">
        <is>
          <t>N</t>
        </is>
      </c>
      <c r="G19" t="inlineStr"/>
      <c r="H19" s="6" t="inlineStr"/>
      <c r="I19" t="inlineStr"/>
      <c r="J19" t="inlineStr">
        <is>
          <t>(해당 없음)</t>
        </is>
      </c>
      <c r="K19" t="inlineStr"/>
    </row>
    <row r="20">
      <c r="A20" t="n">
        <v>19</v>
      </c>
      <c r="B20" t="inlineStr">
        <is>
          <t>EXO</t>
        </is>
      </c>
      <c r="C20" t="inlineStr">
        <is>
          <t>loyalty</t>
        </is>
      </c>
      <c r="D20" s="2" t="inlineStr">
        <is>
          <t>디오(D.O.)가 마닐라에서 2일간 단독 팬콘을 개최</t>
        </is>
      </c>
      <c r="E20" t="inlineStr"/>
      <c r="F20" t="inlineStr">
        <is>
          <t>N</t>
        </is>
      </c>
      <c r="G20" t="inlineStr"/>
      <c r="H20" s="6" t="inlineStr"/>
      <c r="I20" t="inlineStr"/>
      <c r="J20" t="inlineStr">
        <is>
          <t>(해당 없음)</t>
        </is>
      </c>
      <c r="K20" t="inlineStr"/>
    </row>
    <row r="21">
      <c r="A21" t="n">
        <v>20</v>
      </c>
      <c r="B21" t="inlineStr">
        <is>
          <t>보아</t>
        </is>
      </c>
      <c r="C21" t="inlineStr">
        <is>
          <t>loyalty</t>
        </is>
      </c>
      <c r="D21" s="2" t="inlineStr">
        <is>
          <t>아랍어 K-pop 팬사이트 MyKpopMania 아랍어판의 보아 프로필 문서에서 본명(권보아), 생년월일(1986.11.5), 2000년 8월 25일 데뷔, 일본 활동 경력, 팬덤명(한국 '보아점프'·일본 '영혼')과 팬덤 색상까지 아랍어로 서술되어 있음을 WebFetch로 직접 확인함.</t>
        </is>
      </c>
      <c r="E21" t="inlineStr"/>
      <c r="F21" t="inlineStr">
        <is>
          <t>N</t>
        </is>
      </c>
      <c r="G21" t="inlineStr"/>
      <c r="H21" s="6" t="inlineStr"/>
      <c r="I21" t="inlineStr"/>
      <c r="J21" t="inlineStr">
        <is>
          <t>(해당 없음)</t>
        </is>
      </c>
      <c r="K21" t="inlineStr"/>
    </row>
    <row r="22">
      <c r="A22" t="n">
        <v>21</v>
      </c>
      <c r="B22" t="inlineStr">
        <is>
          <t>김연자</t>
        </is>
      </c>
      <c r="C22" t="inlineStr">
        <is>
          <t>spillover</t>
        </is>
      </c>
      <c r="D22" s="2" t="inlineStr">
        <is>
          <t>김정일의 초청으로 북한에서 공연하며 노래가 문화적 상징으로 자리잡았으나 2024년 김정은 체제에서 금지곡이 됐다는 점에서 이례적인 정치적 파급력을 보여준다</t>
        </is>
      </c>
      <c r="E22" t="inlineStr"/>
      <c r="F22" t="inlineStr">
        <is>
          <t>N</t>
        </is>
      </c>
      <c r="G22" t="inlineStr"/>
      <c r="H22" s="6" t="inlineStr"/>
      <c r="I22" t="inlineStr"/>
      <c r="J22" t="inlineStr">
        <is>
          <t>(해당 없음)</t>
        </is>
      </c>
      <c r="K22" t="inlineStr"/>
    </row>
    <row r="23">
      <c r="A23" t="n">
        <v>22</v>
      </c>
      <c r="B23" t="inlineStr">
        <is>
          <t>DAY6</t>
        </is>
      </c>
      <c r="C23" t="inlineStr">
        <is>
          <t>loyalty</t>
        </is>
      </c>
      <c r="D23" s="2" t="inlineStr">
        <is>
          <t>DAY6 will hold their 5th official domestic fan meeting Oct 23–25, 2026 with fan club My Day; their 4th fan meeting (July 2025) saw all six performances sell out during fan-club presale at Seoul's Jamsil Indoor Gymnasium, and the band has held official fan meetings for three consecutive years since 2024 despite members' military service</t>
        </is>
      </c>
      <c r="E23" t="inlineStr"/>
      <c r="F23" t="inlineStr">
        <is>
          <t>N</t>
        </is>
      </c>
      <c r="G23" t="inlineStr"/>
      <c r="H23" s="6" t="inlineStr"/>
      <c r="I23" t="inlineStr"/>
      <c r="J23" t="inlineStr">
        <is>
          <t>(해당 없음)</t>
        </is>
      </c>
      <c r="K23" t="inlineStr"/>
    </row>
    <row r="24">
      <c r="A24" t="n">
        <v>23</v>
      </c>
      <c r="B24" t="inlineStr">
        <is>
          <t>엔믹스</t>
        </is>
      </c>
      <c r="C24" t="inlineStr">
        <is>
          <t>spillover</t>
        </is>
      </c>
      <c r="D24" s="2" t="inlineStr">
        <is>
          <t>같은 투어에서 캐나다 토론토, 뉴욕 브루클린, 메릴랜드, 텍사스 어빙, 캘리포니아 오클랜드·로스앤젤레스 등 북미 6개 도시 공연이 확정되며 빌보드가 이를 별도 인터뷰 기사로 다뤘다</t>
        </is>
      </c>
      <c r="E24" t="inlineStr"/>
      <c r="F24" t="inlineStr">
        <is>
          <t>N</t>
        </is>
      </c>
      <c r="G24" t="inlineStr"/>
      <c r="H24" s="6" t="inlineStr"/>
      <c r="I24" t="inlineStr"/>
      <c r="J24" t="inlineStr">
        <is>
          <t>(해당 없음)</t>
        </is>
      </c>
      <c r="K24" t="inlineStr"/>
    </row>
    <row r="25">
      <c r="A25" t="n">
        <v>24</v>
      </c>
      <c r="B25" t="inlineStr">
        <is>
          <t>보아</t>
        </is>
      </c>
      <c r="C25" t="inlineStr">
        <is>
          <t>spillover</t>
        </is>
      </c>
      <c r="D25" s="2" t="inlineStr">
        <is>
          <t>보아는 2016년 JTBC 드라마 '이번주 아내가 바람을 핍니다'에 출연했다.</t>
        </is>
      </c>
      <c r="E25" t="inlineStr"/>
      <c r="F25" t="inlineStr">
        <is>
          <t>N</t>
        </is>
      </c>
      <c r="G25" t="inlineStr"/>
      <c r="H25" s="6" t="inlineStr"/>
      <c r="I25" t="inlineStr"/>
      <c r="J25" t="inlineStr">
        <is>
          <t>(해당 없음)</t>
        </is>
      </c>
      <c r="K25" t="inlineStr"/>
    </row>
    <row r="26">
      <c r="A26" t="n">
        <v>25</v>
      </c>
      <c r="B26" t="inlineStr">
        <is>
          <t>FTISLAND</t>
        </is>
      </c>
      <c r="C26" t="inlineStr">
        <is>
          <t>loyalty</t>
        </is>
      </c>
      <c r="D26" s="2" t="inlineStr">
        <is>
          <t>태국 kapook.com은 FTISLAND의 2026년 8월 8일 방콕 콘서트('2026 FTISLAND TOUR 0—XIX—III FaTe in BANGKOK', MCC Hall) 소식과 함께 공식 팬클럽명이 '프리마돈나(Primadonna)'임을 명시하며 팬들의 기대감을 전했다</t>
        </is>
      </c>
      <c r="E26" t="inlineStr"/>
      <c r="F26" t="inlineStr">
        <is>
          <t>N</t>
        </is>
      </c>
      <c r="G26" t="inlineStr"/>
      <c r="H26" s="6" t="inlineStr"/>
      <c r="I26" t="inlineStr"/>
      <c r="J26" t="inlineStr">
        <is>
          <t>(해당 없음)</t>
        </is>
      </c>
      <c r="K26" t="inlineStr"/>
    </row>
    <row r="27">
      <c r="A27" t="n">
        <v>26</v>
      </c>
      <c r="B27" t="inlineStr">
        <is>
          <t>QWER</t>
        </is>
      </c>
      <c r="C27" t="inlineStr">
        <is>
          <t>spillover</t>
        </is>
      </c>
      <c r="D27" s="2" t="inlineStr">
        <is>
          <t>ETtoday는 QWER이 반년 사이 네 번째로 대만을 찾았다며 "台灣像是第二個家"라는 멤버 발언을 제목으로 보도했다.</t>
        </is>
      </c>
      <c r="E27" t="inlineStr"/>
      <c r="F27" t="inlineStr">
        <is>
          <t>N</t>
        </is>
      </c>
      <c r="G27" t="inlineStr"/>
      <c r="H27" s="6" t="inlineStr"/>
      <c r="I27" t="inlineStr"/>
      <c r="J27" t="inlineStr">
        <is>
          <t>(해당 없음)</t>
        </is>
      </c>
      <c r="K27" t="inlineStr"/>
    </row>
    <row r="28">
      <c r="A28" t="n">
        <v>27</v>
      </c>
      <c r="B28" t="inlineStr">
        <is>
          <t>슈퍼주니어</t>
        </is>
      </c>
      <c r="C28" t="inlineStr">
        <is>
          <t>loyalty</t>
        </is>
      </c>
      <c r="D28" s="2" t="inlineStr">
        <is>
          <t>중국 163.com이 한경(韓庚)의 2024년 인터뷰를 인용해 SM엔터테인먼트 탈퇴 전후 슈퍼주니어 멤버들과의 관계를 보도했다. 김희철은 한경의 소송이 이후 SM의 외국인 아티스트 대우 개선으로 이어져 후속 중국인 멤버들에게 도움이 되었다고 인정했으며, 한경은 당시를 "한때 극단적 선택을 생각할 정도로 우울했다"고 회고했다.</t>
        </is>
      </c>
      <c r="E28" t="inlineStr"/>
      <c r="F28" t="inlineStr">
        <is>
          <t>N</t>
        </is>
      </c>
      <c r="G28" t="inlineStr"/>
      <c r="H28" s="6" t="inlineStr"/>
      <c r="I28" t="inlineStr"/>
      <c r="J28" t="inlineStr">
        <is>
          <t>(해당 없음)</t>
        </is>
      </c>
      <c r="K28" t="inlineStr"/>
    </row>
    <row r="29">
      <c r="A29" t="n">
        <v>28</v>
      </c>
      <c r="B29" t="inlineStr">
        <is>
          <t>조용필</t>
        </is>
      </c>
      <c r="C29" t="inlineStr">
        <is>
          <t>loyalty</t>
        </is>
      </c>
      <c r="D29" s="2" t="inlineStr">
        <is>
          <t>조용필은 2009년 경기도 화성시 전곡항 국제보트쇼 개막식에서 개런티 없이 무료 축하공연을 하며 고향에 대한 애정을 보였다.</t>
        </is>
      </c>
      <c r="E29" t="inlineStr"/>
      <c r="F29" t="inlineStr">
        <is>
          <t>N</t>
        </is>
      </c>
      <c r="G29" t="inlineStr"/>
      <c r="H29" s="6" t="inlineStr"/>
      <c r="I29" t="inlineStr"/>
      <c r="J29" t="inlineStr">
        <is>
          <t>(해당 없음)</t>
        </is>
      </c>
      <c r="K29" t="inlineStr"/>
    </row>
    <row r="30">
      <c r="A30" t="n">
        <v>29</v>
      </c>
      <c r="B30" t="inlineStr">
        <is>
          <t>마마무</t>
        </is>
      </c>
      <c r="C30" t="inlineStr">
        <is>
          <t>spillover</t>
        </is>
      </c>
      <c r="D30" s="2" t="inlineStr">
        <is>
          <t>멜론에서 역대 K-pop 걸그룹 중 유일하게 총 감상자 수 1억 명을 넘겨 1위를 기록했다</t>
        </is>
      </c>
      <c r="E30" t="inlineStr"/>
      <c r="F30" t="inlineStr">
        <is>
          <t>N</t>
        </is>
      </c>
      <c r="G30" t="inlineStr"/>
      <c r="H30" s="6" t="inlineStr"/>
      <c r="I30" t="inlineStr"/>
      <c r="J30" t="inlineStr">
        <is>
          <t>(해당 없음)</t>
        </is>
      </c>
      <c r="K30" t="inlineStr"/>
    </row>
    <row r="31">
      <c r="A31" t="n">
        <v>30</v>
      </c>
      <c r="B31" t="inlineStr">
        <is>
          <t>소녀시대</t>
        </is>
      </c>
      <c r="C31" t="inlineStr">
        <is>
          <t>loyalty</t>
        </is>
      </c>
      <c r="D31" s="2" t="inlineStr">
        <is>
          <t>Natalie reported that Taeyeon's Seoul solo concert was simulcast via live-viewing screenings in movie theaters nationwide across Japan for Japanese fans</t>
        </is>
      </c>
      <c r="E31" t="inlineStr"/>
      <c r="F31" t="inlineStr">
        <is>
          <t>N</t>
        </is>
      </c>
      <c r="G31" t="inlineStr"/>
      <c r="H31" s="6" t="inlineStr"/>
      <c r="I31" t="inlineStr"/>
      <c r="J31" t="inlineStr">
        <is>
          <t>(해당 없음)</t>
        </is>
      </c>
      <c r="K31" t="inlineStr"/>
    </row>
    <row r="32">
      <c r="A32" t="n">
        <v>31</v>
      </c>
      <c r="B32" t="inlineStr">
        <is>
          <t>몬스타엑스</t>
        </is>
      </c>
      <c r="C32" t="inlineStr">
        <is>
          <t>loyalty</t>
        </is>
      </c>
      <c r="D32" s="2" t="inlineStr">
        <is>
          <t>2020년 3월 몬스타엑스가 코로나19 취약계층 지원을 위해 굿네이버스를 통해 대구·경북 지역에 1억 원을 기부하자, 이 소식을 알게 된 몬베베 팬덤도 자발적으로 추가 기부에 동참했다.</t>
        </is>
      </c>
      <c r="E32" t="inlineStr"/>
      <c r="F32" t="inlineStr">
        <is>
          <t>N</t>
        </is>
      </c>
      <c r="G32" t="inlineStr"/>
      <c r="H32" s="6" t="inlineStr"/>
      <c r="I32" t="inlineStr"/>
      <c r="J32" t="inlineStr">
        <is>
          <t>(해당 없음)</t>
        </is>
      </c>
      <c r="K32" t="inlineStr"/>
    </row>
    <row r="33">
      <c r="A33" t="n">
        <v>32</v>
      </c>
      <c r="B33" t="inlineStr">
        <is>
          <t>BTS</t>
        </is>
      </c>
      <c r="C33" t="inlineStr">
        <is>
          <t>spillover</t>
        </is>
      </c>
      <c r="D33" s="2" t="inlineStr">
        <is>
          <t>이른바 'BTS노믹스'로 이번 컴백에 따른 경제적 파급효과가 3조원에 이를 것으로 전망됐다.</t>
        </is>
      </c>
      <c r="E33" t="inlineStr"/>
      <c r="F33" t="inlineStr">
        <is>
          <t>N</t>
        </is>
      </c>
      <c r="G33" t="inlineStr"/>
      <c r="H33" s="6" t="inlineStr"/>
      <c r="I33" t="inlineStr"/>
      <c r="J33" t="inlineStr">
        <is>
          <t>(해당 없음)</t>
        </is>
      </c>
      <c r="K33" t="inlineStr"/>
    </row>
    <row r="34">
      <c r="A34" t="n">
        <v>33</v>
      </c>
      <c r="B34" t="inlineStr">
        <is>
          <t>장윤정</t>
        </is>
      </c>
      <c r="C34" t="inlineStr">
        <is>
          <t>loyalty</t>
        </is>
      </c>
      <c r="D34" s="2" t="inlineStr">
        <is>
          <t>2025~2026년에도 안양·성남 등 전국 각지에서 콘서트 'THE MASTER' 투어를 이어가며 20년 넘게 활동을 지속하고 있다.</t>
        </is>
      </c>
      <c r="E34" t="inlineStr"/>
      <c r="F34" t="inlineStr">
        <is>
          <t>N</t>
        </is>
      </c>
      <c r="G34" t="inlineStr"/>
      <c r="H34" s="6" t="inlineStr"/>
      <c r="I34" t="inlineStr"/>
      <c r="J34" t="inlineStr">
        <is>
          <t>(해당 없음)</t>
        </is>
      </c>
      <c r="K34" t="inlineStr"/>
    </row>
    <row r="35">
      <c r="A35" t="n">
        <v>34</v>
      </c>
      <c r="B35" t="inlineStr">
        <is>
          <t>지코</t>
        </is>
      </c>
      <c r="C35" t="inlineStr">
        <is>
          <t>spillover</t>
        </is>
      </c>
      <c r="D35" s="2" t="inlineStr">
        <is>
          <t>'아무노래' 스포티파이 누적 스트리밍 2억 회 돌파, 개인 통산 두 번째 2억 스트리밍 곡</t>
        </is>
      </c>
      <c r="E35" t="inlineStr"/>
      <c r="F35" t="inlineStr">
        <is>
          <t>N</t>
        </is>
      </c>
      <c r="G35" t="inlineStr"/>
      <c r="H35" s="6" t="inlineStr"/>
      <c r="I35" t="inlineStr"/>
      <c r="J35" t="inlineStr">
        <is>
          <t>(해당 없음)</t>
        </is>
      </c>
      <c r="K35" t="inlineStr"/>
    </row>
    <row r="36">
      <c r="A36" t="n">
        <v>35</v>
      </c>
      <c r="B36" t="inlineStr">
        <is>
          <t>잭스키스</t>
        </is>
      </c>
      <c r="C36" t="inlineStr">
        <is>
          <t>loyalty</t>
        </is>
      </c>
      <c r="D36" s="2" t="inlineStr">
        <is>
          <t>젝스키스 팬클럽이 멤버 김재덕의 고향인 부산광역시 사하구 감천동 주민들에게 선풍기 30대를 선물했다.</t>
        </is>
      </c>
      <c r="E36" t="inlineStr"/>
      <c r="F36" t="inlineStr">
        <is>
          <t>N</t>
        </is>
      </c>
      <c r="G36" t="inlineStr"/>
      <c r="H36" s="6" t="inlineStr"/>
      <c r="I36" t="inlineStr"/>
      <c r="J36" t="inlineStr">
        <is>
          <t>(해당 없음)</t>
        </is>
      </c>
      <c r="K36" t="inlineStr"/>
    </row>
    <row r="37">
      <c r="A37" t="n">
        <v>36</v>
      </c>
      <c r="B37" t="inlineStr">
        <is>
          <t>TWICE</t>
        </is>
      </c>
      <c r="C37" t="inlineStr">
        <is>
          <t>spillover</t>
        </is>
      </c>
      <c r="D37" s="2" t="inlineStr">
        <is>
          <t>TWICE의 소속사 JYP엔터테인먼트가 미국·일본·중국에 이어 인도를 네 번째 해외 거점으로 삼아 현지 사무소 개설을 준비 중이라고 Pinkvilla가 보도했다.</t>
        </is>
      </c>
      <c r="E37" t="inlineStr"/>
      <c r="F37" t="inlineStr">
        <is>
          <t>N</t>
        </is>
      </c>
      <c r="G37" t="inlineStr"/>
      <c r="H37" s="6" t="inlineStr"/>
      <c r="I37" t="inlineStr"/>
      <c r="J37" t="inlineStr">
        <is>
          <t>(해당 없음)</t>
        </is>
      </c>
      <c r="K37" t="inlineStr"/>
    </row>
    <row r="38">
      <c r="A38" t="n">
        <v>37</v>
      </c>
      <c r="B38" t="inlineStr">
        <is>
          <t>이영지</t>
        </is>
      </c>
      <c r="C38" t="inlineStr">
        <is>
          <t>loyalty</t>
        </is>
      </c>
      <c r="D38" s="2" t="inlineStr">
        <is>
          <t>2025.3 대한적십자사를 통해 울산·경북·경남 산불 피해 복구 성금 1억원 기부</t>
        </is>
      </c>
      <c r="E38" t="inlineStr"/>
      <c r="F38" t="inlineStr">
        <is>
          <t>N</t>
        </is>
      </c>
      <c r="G38" t="inlineStr"/>
      <c r="H38" s="6" t="inlineStr"/>
      <c r="I38" t="inlineStr"/>
      <c r="J38" t="inlineStr">
        <is>
          <t>(해당 없음)</t>
        </is>
      </c>
      <c r="K38" t="inlineStr"/>
    </row>
    <row r="39">
      <c r="A39" t="n">
        <v>38</v>
      </c>
      <c r="B39" t="inlineStr">
        <is>
          <t>워너원</t>
        </is>
      </c>
      <c r="C39" t="inlineStr">
        <is>
          <t>spillover</t>
        </is>
      </c>
      <c r="D39" s="2" t="inlineStr">
        <is>
          <t>워너원 출신 라이관린, 연기자 됐다···중국 드라마 출연. 그룹 '워너원' 출신 라이관린(18)이 연기 활동을 병행한다. 소속사 큐브 엔터테인먼트에 따르면 라이관린은 중국 드라마 '초연나건소사(初戀那件小事)' 출연을 확정했다.</t>
        </is>
      </c>
      <c r="E39" t="inlineStr"/>
      <c r="F39" t="inlineStr">
        <is>
          <t>N</t>
        </is>
      </c>
      <c r="G39" t="inlineStr"/>
      <c r="H39" s="6" t="inlineStr"/>
      <c r="I39" t="inlineStr"/>
      <c r="J39" t="inlineStr">
        <is>
          <t>(해당 없음)</t>
        </is>
      </c>
      <c r="K39" t="inlineStr"/>
    </row>
    <row r="40">
      <c r="A40" s="7" t="n">
        <v>39</v>
      </c>
      <c r="B40" s="7" t="inlineStr">
        <is>
          <t>DAY6</t>
        </is>
      </c>
      <c r="C40" s="7" t="inlineStr">
        <is>
          <t>spillover</t>
        </is>
      </c>
      <c r="D40" s="8" t="inlineStr">
        <is>
          <t>DAY6 was named the new brand ambassador for British sports brand Umbro's "STAND BY ME" campaign (Feb 4, 2025), with a co-created HBL apparel collection sold at Umbro stores nationwide and online</t>
        </is>
      </c>
      <c r="E40" s="7" t="inlineStr"/>
      <c r="F40" s="7" t="inlineStr">
        <is>
          <t>Y</t>
        </is>
      </c>
      <c r="G40" s="7" t="inlineStr">
        <is>
          <t>brand ambassador / campaign (영문)</t>
        </is>
      </c>
      <c r="H40" s="7" t="inlineStr"/>
      <c r="I40" s="7" t="inlineStr"/>
      <c r="J40" s="7" t="inlineStr">
        <is>
          <t>(해당 없음)</t>
        </is>
      </c>
      <c r="K40" s="7" t="inlineStr"/>
    </row>
    <row r="41">
      <c r="A41" t="n">
        <v>40</v>
      </c>
      <c r="B41" t="inlineStr">
        <is>
          <t>윤도현</t>
        </is>
      </c>
      <c r="C41" t="inlineStr">
        <is>
          <t>loyalty</t>
        </is>
      </c>
      <c r="D41" s="2" t="inlineStr">
        <is>
          <t>YB 명의로 2025년 2월 EP 'Odyssey'와 싱글 'Rebellion(feat. Xdinary Heroes)'을 연이어 발매하며 세대를 넘나드는 협업으로 팬덤과의 접점을 이어감</t>
        </is>
      </c>
      <c r="E41" t="inlineStr">
        <is>
          <t>협업</t>
        </is>
      </c>
      <c r="F41" t="inlineStr">
        <is>
          <t>N</t>
        </is>
      </c>
      <c r="G41" t="inlineStr"/>
      <c r="H41" s="6" t="inlineStr"/>
      <c r="I41" t="inlineStr"/>
      <c r="J41" t="inlineStr">
        <is>
          <t>(해당 없음)</t>
        </is>
      </c>
      <c r="K41" t="inlineStr"/>
    </row>
    <row r="42">
      <c r="A42" t="n">
        <v>41</v>
      </c>
      <c r="B42" t="inlineStr">
        <is>
          <t>ATEEZ</t>
        </is>
      </c>
      <c r="C42" t="inlineStr">
        <is>
          <t>loyalty</t>
        </is>
      </c>
      <c r="D42" s="2" t="inlineStr">
        <is>
          <t>2026년 3월 마닐라 콘서트를 '판타지'로 표현하며 팬들과 공유했다고 현지 매체가 보도</t>
        </is>
      </c>
      <c r="E42" t="inlineStr"/>
      <c r="F42" t="inlineStr">
        <is>
          <t>N</t>
        </is>
      </c>
      <c r="G42" t="inlineStr"/>
      <c r="H42" s="6" t="inlineStr"/>
      <c r="I42" t="inlineStr"/>
      <c r="J42" t="inlineStr">
        <is>
          <t>(해당 없음)</t>
        </is>
      </c>
      <c r="K42" t="inlineStr"/>
    </row>
    <row r="43">
      <c r="A43" t="n">
        <v>42</v>
      </c>
      <c r="B43" t="inlineStr">
        <is>
          <t>장윤정</t>
        </is>
      </c>
      <c r="C43" t="inlineStr">
        <is>
          <t>loyalty</t>
        </is>
      </c>
      <c r="D43" s="2" t="inlineStr">
        <is>
          <t>위 콘서트 현장 기사에서 퇴장하는 관객들이 '돈이 아깝지 않다', '정말 재밌다'는 반응을 보였고 공연 후 포토존에 긴 대기 줄이 이어졌다고 전했다.</t>
        </is>
      </c>
      <c r="E43" t="inlineStr"/>
      <c r="F43" t="inlineStr">
        <is>
          <t>N</t>
        </is>
      </c>
      <c r="G43" t="inlineStr"/>
      <c r="H43" s="6" t="inlineStr"/>
      <c r="I43" t="inlineStr"/>
      <c r="J43" t="inlineStr">
        <is>
          <t>(해당 없음)</t>
        </is>
      </c>
      <c r="K43" t="inlineStr"/>
    </row>
    <row r="44">
      <c r="A44" t="n">
        <v>43</v>
      </c>
      <c r="B44" t="inlineStr">
        <is>
          <t>린</t>
        </is>
      </c>
      <c r="C44" t="inlineStr">
        <is>
          <t>spillover</t>
        </is>
      </c>
      <c r="D44" s="2" t="inlineStr">
        <is>
          <t>"Back in Time" (2012) reached #1 on the weekly Gaon Digital Chart and sold over 3 million copies; "LOVE" (2018) sold 6,536,156 downloads; "My Destiny" (2013, My Love from the Star OST) sold 1,074,581 downloads and won Best OST at the 50th Baeksang Arts Awards (2014) — noted as the first artist to win that category</t>
        </is>
      </c>
      <c r="E44" t="inlineStr"/>
      <c r="F44" t="inlineStr">
        <is>
          <t>N</t>
        </is>
      </c>
      <c r="G44" t="inlineStr"/>
      <c r="H44" s="6" t="inlineStr"/>
      <c r="I44" t="inlineStr"/>
      <c r="J44" t="inlineStr">
        <is>
          <t>(해당 없음)</t>
        </is>
      </c>
      <c r="K44" t="inlineStr"/>
    </row>
    <row r="45">
      <c r="A45" t="n">
        <v>44</v>
      </c>
      <c r="B45" t="inlineStr">
        <is>
          <t>다비치</t>
        </is>
      </c>
      <c r="C45" t="inlineStr">
        <is>
          <t>loyalty</t>
        </is>
      </c>
      <c r="D45" s="2" t="inlineStr">
        <is>
          <t>"Just the Two of Us"가 2013년 3월 엠카운트다운을 포함해 통산 15번째 음악방송 1위를 달성했다</t>
        </is>
      </c>
      <c r="E45" t="inlineStr"/>
      <c r="F45" t="inlineStr">
        <is>
          <t>N</t>
        </is>
      </c>
      <c r="G45" t="inlineStr"/>
      <c r="H45" s="6" t="inlineStr"/>
      <c r="I45" t="inlineStr"/>
      <c r="J45" t="inlineStr">
        <is>
          <t>(해당 없음)</t>
        </is>
      </c>
      <c r="K45" t="inlineStr"/>
    </row>
    <row r="46">
      <c r="A46" t="n">
        <v>45</v>
      </c>
      <c r="B46" t="inlineStr">
        <is>
          <t>브라운아이즈</t>
        </is>
      </c>
      <c r="C46" t="inlineStr">
        <is>
          <t>spillover</t>
        </is>
      </c>
      <c r="D46" s="2" t="inlineStr">
        <is>
          <t>2001년 제3회 엠넷 뮤직비디오 페스티벌에서 '벌써 일년'으로 신인그룹상을 수상했다.</t>
        </is>
      </c>
      <c r="E46" t="inlineStr"/>
      <c r="F46" t="inlineStr">
        <is>
          <t>N</t>
        </is>
      </c>
      <c r="G46" t="inlineStr"/>
      <c r="H46" s="6" t="inlineStr"/>
      <c r="I46" t="inlineStr"/>
      <c r="J46" t="inlineStr">
        <is>
          <t>(해당 없음)</t>
        </is>
      </c>
      <c r="K46" t="inlineStr"/>
    </row>
    <row r="47">
      <c r="A47" t="n">
        <v>46</v>
      </c>
      <c r="B47" t="inlineStr">
        <is>
          <t>10CM</t>
        </is>
      </c>
      <c r="C47" t="inlineStr">
        <is>
          <t>spillover</t>
        </is>
      </c>
      <c r="D47" s="2" t="inlineStr">
        <is>
          <t>10CM의 1집 《1.0》은 발매 후 1주일 만에 판매량 1만 장을 돌파했다</t>
        </is>
      </c>
      <c r="E47" t="inlineStr"/>
      <c r="F47" t="inlineStr">
        <is>
          <t>N</t>
        </is>
      </c>
      <c r="G47" t="inlineStr"/>
      <c r="H47" s="6" t="inlineStr"/>
      <c r="I47" t="inlineStr"/>
      <c r="J47" t="inlineStr">
        <is>
          <t>(해당 없음)</t>
        </is>
      </c>
      <c r="K47" t="inlineStr"/>
    </row>
    <row r="48">
      <c r="A48" t="n">
        <v>47</v>
      </c>
      <c r="B48" t="inlineStr">
        <is>
          <t>오마이걸</t>
        </is>
      </c>
      <c r="C48" t="inlineStr">
        <is>
          <t>loyalty</t>
        </is>
      </c>
      <c r="D48" s="2" t="inlineStr">
        <is>
          <t>WM엔터테인먼트가 오마이걸 완전체 컴백을 2026년 상반기로 연기하면서, 원래 2027년 3월 18일까지였던 공식 팬클럽 '미라클' 6기 멤버십의 활동 기간을 연장 운영하기로 결정했다고 공식 발표함</t>
        </is>
      </c>
      <c r="E48" t="inlineStr"/>
      <c r="F48" t="inlineStr">
        <is>
          <t>N</t>
        </is>
      </c>
      <c r="G48" t="inlineStr"/>
      <c r="H48" s="6" t="inlineStr"/>
      <c r="I48" t="inlineStr"/>
      <c r="J48" t="inlineStr">
        <is>
          <t>(해당 없음)</t>
        </is>
      </c>
      <c r="K48" t="inlineStr"/>
    </row>
    <row r="49">
      <c r="A49" t="n">
        <v>48</v>
      </c>
      <c r="B49" t="inlineStr">
        <is>
          <t>HOT</t>
        </is>
      </c>
      <c r="C49" t="inlineStr">
        <is>
          <t>spillover</t>
        </is>
      </c>
      <c r="D49" s="2" t="inlineStr">
        <is>
          <t>2025년 11월 한터 뮤직 페스티벌에서 H.O.T.는 2AM, 틴탑, 마마무 쏠라, 오마이걸, 프로미스나인, 트리플에스 등 후배 가수들과 함께 무대에 올랐다.</t>
        </is>
      </c>
      <c r="E49" t="inlineStr"/>
      <c r="F49" t="inlineStr">
        <is>
          <t>N</t>
        </is>
      </c>
      <c r="G49" t="inlineStr"/>
      <c r="H49" s="6" t="inlineStr"/>
      <c r="I49" t="inlineStr"/>
      <c r="J49" t="inlineStr">
        <is>
          <t>(해당 없음)</t>
        </is>
      </c>
      <c r="K49" t="inlineStr"/>
    </row>
    <row r="50">
      <c r="A50" t="n">
        <v>49</v>
      </c>
      <c r="B50" t="inlineStr">
        <is>
          <t>나훈아</t>
        </is>
      </c>
      <c r="C50" t="inlineStr">
        <is>
          <t>spillover</t>
        </is>
      </c>
      <c r="D50" s="2" t="inlineStr">
        <is>
          <t>대만 매체 The News Lens(關鍵評論網)가 나훈아를 "당대의 가왕(歌王)", "가요계의 살아있는 전설"로 소개하는 인물 기사를 게재했다. 기사는 2003년 삼성 이건희 회장의 생일 행사 초청을 그가 거절하며 "나는 대중 가수이다. 그러므로 티켓을 구매한 관객 앞에서만 공연하겠다"고 말한 일화를 전했다.</t>
        </is>
      </c>
      <c r="E50" t="inlineStr"/>
      <c r="F50" t="inlineStr">
        <is>
          <t>N</t>
        </is>
      </c>
      <c r="G50" t="inlineStr"/>
      <c r="H50" s="6" t="inlineStr"/>
      <c r="I50" t="inlineStr"/>
      <c r="J50" t="inlineStr">
        <is>
          <t>(해당 없음)</t>
        </is>
      </c>
      <c r="K50" t="inlineStr"/>
    </row>
    <row r="51">
      <c r="A51" t="n">
        <v>50</v>
      </c>
      <c r="B51" t="inlineStr">
        <is>
          <t>샤이니</t>
        </is>
      </c>
      <c r="C51" t="inlineStr">
        <is>
          <t>loyalty</t>
        </is>
      </c>
      <c r="D51" s="2" t="inlineStr">
        <is>
          <t>WOWOW가 SHINee 일본 데뷔 15주년 및 일본 공연 독점 생중계를 특집으로 편성했다는 보도</t>
        </is>
      </c>
      <c r="E51" t="inlineStr"/>
      <c r="F51" t="inlineStr">
        <is>
          <t>N</t>
        </is>
      </c>
      <c r="G51" t="inlineStr"/>
      <c r="H51" s="6" t="inlineStr"/>
      <c r="I51" t="inlineStr"/>
      <c r="J51" t="inlineStr">
        <is>
          <t>(해당 없음)</t>
        </is>
      </c>
      <c r="K51" t="inlineStr"/>
    </row>
    <row r="52">
      <c r="A52" t="n">
        <v>51</v>
      </c>
      <c r="B52" t="inlineStr">
        <is>
          <t>김재중</t>
        </is>
      </c>
      <c r="C52" t="inlineStr">
        <is>
          <t>loyalty</t>
        </is>
      </c>
      <c r="D52" s="2" t="inlineStr">
        <is>
          <t>2026년 8월 29~30일 서울 KBS아레나에서 열린 단독 콘서트 '2026 KIM JAE JOONG CONCERT [THE WAVE]'는 한국에서 그의 첫 스탠딩 공연 형태로 진행됐으며, 앙코르에서는 2006년 발표곡 'To the Boy'를 국내 최초로 라이브 공연해 팬들이 처음부터 끝까지 적극적으로 호응했다.</t>
        </is>
      </c>
      <c r="E52" t="inlineStr"/>
      <c r="F52" t="inlineStr">
        <is>
          <t>N</t>
        </is>
      </c>
      <c r="G52" t="inlineStr"/>
      <c r="H52" s="6" t="inlineStr"/>
      <c r="I52" t="inlineStr"/>
      <c r="J52" t="inlineStr">
        <is>
          <t>(해당 없음)</t>
        </is>
      </c>
      <c r="K52" t="inlineStr"/>
    </row>
    <row r="53">
      <c r="A53" t="n">
        <v>52</v>
      </c>
      <c r="B53" t="inlineStr">
        <is>
          <t>워너원</t>
        </is>
      </c>
      <c r="C53" t="inlineStr">
        <is>
          <t>loyalty</t>
        </is>
      </c>
      <c r="D53" s="2" t="inlineStr">
        <is>
          <t>2026년 1월~4월, 해체 7년 만에 Mnet 리얼리티쇼 "워너원 고: 백 투 베이스"를 통해 재결합을 성사시켰으며, 팬들을 향한 자필 편지 공개 등으로 팬덤 재결집을 이끌었다</t>
        </is>
      </c>
      <c r="E53" t="inlineStr"/>
      <c r="F53" t="inlineStr">
        <is>
          <t>N</t>
        </is>
      </c>
      <c r="G53" t="inlineStr"/>
      <c r="H53" s="6" t="inlineStr"/>
      <c r="I53" t="inlineStr"/>
      <c r="J53" t="inlineStr">
        <is>
          <t>(해당 없음)</t>
        </is>
      </c>
      <c r="K53" t="inlineStr"/>
    </row>
    <row r="54">
      <c r="A54" t="n">
        <v>53</v>
      </c>
      <c r="B54" t="inlineStr">
        <is>
          <t>아이유</t>
        </is>
      </c>
      <c r="C54" t="inlineStr">
        <is>
          <t>loyalty</t>
        </is>
      </c>
      <c r="D54" s="2" t="inlineStr">
        <is>
          <t>2022년 콘서트 'The Golden Hour: Orange Sun Below' 일반 예매 대기열이 44만 명에 달해 2019년 'Love, Poem'(13만 명) 대비 크게 증가했으며, 2023년 팬콘서트 'I+UN1VER5E'는 이틀 공연이 선예매만으로 각각 10분 만에 매진됐다</t>
        </is>
      </c>
      <c r="E54" t="inlineStr"/>
      <c r="F54" t="inlineStr">
        <is>
          <t>N</t>
        </is>
      </c>
      <c r="G54" t="inlineStr"/>
      <c r="H54" s="6" t="inlineStr"/>
      <c r="I54" t="inlineStr"/>
      <c r="J54" t="inlineStr">
        <is>
          <t>(해당 없음)</t>
        </is>
      </c>
      <c r="K54" t="inlineStr"/>
    </row>
    <row r="55">
      <c r="A55" t="n">
        <v>54</v>
      </c>
      <c r="B55" t="inlineStr">
        <is>
          <t>동방신기</t>
        </is>
      </c>
      <c r="C55" t="inlineStr">
        <is>
          <t>spillover</t>
        </is>
      </c>
      <c r="D55" s="2" t="inlineStr">
        <is>
          <t>인도네시아 매체 detikcom은 SM엔터테인먼트 창립 30주년 기념 리메이크 프로젝트에서 후배 그룹 RIIZE가 동방신기의 'Hug'를 커버한다고 전하며, 2025년 1월 SMTOWN LIVE 고척스카이돔 라인업에 동방신기가 포함됐다고 보도했다</t>
        </is>
      </c>
      <c r="E55" t="inlineStr"/>
      <c r="F55" t="inlineStr">
        <is>
          <t>N</t>
        </is>
      </c>
      <c r="G55" t="inlineStr"/>
      <c r="H55" s="6" t="inlineStr"/>
      <c r="I55" t="inlineStr"/>
      <c r="J55" t="inlineStr">
        <is>
          <t>(해당 없음)</t>
        </is>
      </c>
      <c r="K55" t="inlineStr"/>
    </row>
    <row r="56">
      <c r="A56" t="n">
        <v>55</v>
      </c>
      <c r="B56" t="inlineStr">
        <is>
          <t>NCT</t>
        </is>
      </c>
      <c r="C56" t="inlineStr">
        <is>
          <t>loyalty</t>
        </is>
      </c>
      <c r="D56" s="2" t="inlineStr">
        <is>
          <t>오리콘이 NCT 유타의 남미 콘서트 회상 인터뷰("속옷 같은 게 날아온다")를 보도했다</t>
        </is>
      </c>
      <c r="E56" t="inlineStr"/>
      <c r="F56" t="inlineStr">
        <is>
          <t>N</t>
        </is>
      </c>
      <c r="G56" t="inlineStr"/>
      <c r="H56" s="6" t="inlineStr"/>
      <c r="I56" t="inlineStr"/>
      <c r="J56" t="inlineStr">
        <is>
          <t>(해당 없음)</t>
        </is>
      </c>
      <c r="K56" t="inlineStr"/>
    </row>
    <row r="57">
      <c r="A57" t="n">
        <v>56</v>
      </c>
      <c r="B57" t="inlineStr">
        <is>
          <t>청하</t>
        </is>
      </c>
      <c r="C57" t="inlineStr">
        <is>
          <t>spillover</t>
        </is>
      </c>
      <c r="D57" s="2" t="inlineStr">
        <is>
          <t>나무위키에 따르면 청하는 2019년 2월 개설된 이전 개인 유튜브 채널(구독자 약 138만명, 총 조회수 약 3.05억회)을 소속사 계약 만료 후 정리하고, 2023년 10월 새 개인 채널을 개설해 뮤직비디오·비하인드 콘텐츠 등을 공개하며 구독자 약 35.6만명, 총 조회수 약 5.29억회를 기록 중이다.</t>
        </is>
      </c>
      <c r="E57" t="inlineStr"/>
      <c r="F57" t="inlineStr">
        <is>
          <t>N</t>
        </is>
      </c>
      <c r="G57" t="inlineStr"/>
      <c r="H57" s="6" t="inlineStr"/>
      <c r="I57" t="inlineStr"/>
      <c r="J57" t="inlineStr">
        <is>
          <t>(해당 없음)</t>
        </is>
      </c>
      <c r="K57" t="inlineStr"/>
    </row>
    <row r="58">
      <c r="A58" t="n">
        <v>57</v>
      </c>
      <c r="B58" t="inlineStr">
        <is>
          <t>DAY6</t>
        </is>
      </c>
      <c r="C58" t="inlineStr">
        <is>
          <t>loyalty</t>
        </is>
      </c>
      <c r="D58" s="2" t="inlineStr">
        <is>
          <t>데이식스는 2019년 1월 27일 첫 월드투어의 일환으로 파리 카지노 드 파리에서 공연했으며, 프랑스 팬덤 '마이데이'가 공연장을 가득 채우고 2시간 내내 열띤 호응을 보였다.</t>
        </is>
      </c>
      <c r="E58" t="inlineStr"/>
      <c r="F58" t="inlineStr">
        <is>
          <t>N</t>
        </is>
      </c>
      <c r="G58" t="inlineStr"/>
      <c r="H58" s="6" t="inlineStr"/>
      <c r="I58" t="inlineStr"/>
      <c r="J58" t="inlineStr">
        <is>
          <t>(해당 없음)</t>
        </is>
      </c>
      <c r="K58" t="inlineStr"/>
    </row>
    <row r="59">
      <c r="A59" t="n">
        <v>58</v>
      </c>
      <c r="B59" t="inlineStr">
        <is>
          <t>김동률</t>
        </is>
      </c>
      <c r="C59" t="inlineStr">
        <is>
          <t>spillover</t>
        </is>
      </c>
      <c r="D59" s="2" t="inlineStr">
        <is>
          <t>allkpop은 김동률이 3년여 만에 발표한 신곡 '리플라이(Reply)' 뮤직비디오에 배우 현빈이 주연으로 출연했다고 영어로 보도했다.</t>
        </is>
      </c>
      <c r="E59" t="inlineStr"/>
      <c r="F59" t="inlineStr">
        <is>
          <t>N</t>
        </is>
      </c>
      <c r="G59" t="inlineStr"/>
      <c r="H59" s="6" t="inlineStr"/>
      <c r="I59" t="inlineStr"/>
      <c r="J59" t="inlineStr">
        <is>
          <t>(해당 없음)</t>
        </is>
      </c>
      <c r="K59" t="inlineStr"/>
    </row>
    <row r="60">
      <c r="A60" t="n">
        <v>59</v>
      </c>
      <c r="B60" t="inlineStr">
        <is>
          <t>RIIZE</t>
        </is>
      </c>
      <c r="C60" t="inlineStr">
        <is>
          <t>spillover</t>
        </is>
      </c>
      <c r="D60" s="2" t="inlineStr">
        <is>
          <t>'II'는 같은 기간 빌보드재팬 톱 앨범 세일즈 차트에서도 1위를 기록했다</t>
        </is>
      </c>
      <c r="E60" t="inlineStr"/>
      <c r="F60" t="inlineStr">
        <is>
          <t>N</t>
        </is>
      </c>
      <c r="G60" t="inlineStr"/>
      <c r="H60" s="6" t="inlineStr"/>
      <c r="I60" t="inlineStr"/>
      <c r="J60" t="inlineStr">
        <is>
          <t>(해당 없음)</t>
        </is>
      </c>
      <c r="K60" t="inlineStr"/>
    </row>
    <row r="61">
      <c r="A61" t="n">
        <v>60</v>
      </c>
      <c r="B61" t="inlineStr">
        <is>
          <t>소녀시대</t>
        </is>
      </c>
      <c r="C61" t="inlineStr">
        <is>
          <t>spillover</t>
        </is>
      </c>
      <c r="D61" s="2" t="inlineStr">
        <is>
          <t>소녀시대는 2세대 걸그룹 중 누적 음반 판매량 1위(2,701,824장)를 기록했고, 가온(써클) 앨범차트 주간 1위를 22주간 차지했으며, 2012년과 2014년 미국 빌보드 200에 진입했다. 또한 뮤직뱅크에서 42회 1위(역대 걸그룹 최다)를 기록했고 지상파 음악방송 통산 1위 100회를 달성한 최초의 걸그룹이며, 지상파 음악방송 총 1위 횟수는 74회에 달한다</t>
        </is>
      </c>
      <c r="E61" t="inlineStr"/>
      <c r="F61" t="inlineStr">
        <is>
          <t>N</t>
        </is>
      </c>
      <c r="G61" t="inlineStr"/>
      <c r="H61" s="6" t="inlineStr"/>
      <c r="I61" t="inlineStr"/>
      <c r="J61" t="inlineStr">
        <is>
          <t>(해당 없음)</t>
        </is>
      </c>
      <c r="K61" t="inlineStr"/>
    </row>
    <row r="62">
      <c r="A62" t="n">
        <v>61</v>
      </c>
      <c r="B62" t="inlineStr">
        <is>
          <t>HOT</t>
        </is>
      </c>
      <c r="C62" t="inlineStr">
        <is>
          <t>spillover</t>
        </is>
      </c>
      <c r="D62" s="2" t="inlineStr">
        <is>
          <t>H.O.T. 토니안은 2026년 5월 SBS 예능에 출연해 과거 무리한 투자로 슈퍼카 3대 값에 달하는 손실을 봤다가, 하루 5~6시간씩 공부하며 최근 넉 달간(12월 2500만원, 1월 8000만원, 2월 6000만원, 4월 3500만원) 주식 투자로 수천만원대 수익을 냈다고 공개했다.</t>
        </is>
      </c>
      <c r="E62" t="inlineStr"/>
      <c r="F62" t="inlineStr">
        <is>
          <t>N</t>
        </is>
      </c>
      <c r="G62" t="inlineStr"/>
      <c r="H62" s="6" t="inlineStr"/>
      <c r="I62" t="inlineStr"/>
      <c r="J62" t="inlineStr">
        <is>
          <t>(해당 없음)</t>
        </is>
      </c>
      <c r="K62" t="inlineStr"/>
    </row>
    <row r="63">
      <c r="A63" t="n">
        <v>62</v>
      </c>
      <c r="B63" t="inlineStr">
        <is>
          <t>(여자)아이들</t>
        </is>
      </c>
      <c r="C63" t="inlineStr">
        <is>
          <t>loyalty</t>
        </is>
      </c>
      <c r="D63" s="2" t="inlineStr">
        <is>
          <t>(여자)아이들이 2019년 1월 첫 단독 리얼리티 'To NEVERLAND'(Mnet M2)를 방영했다.</t>
        </is>
      </c>
      <c r="E63" t="inlineStr"/>
      <c r="F63" t="inlineStr">
        <is>
          <t>N</t>
        </is>
      </c>
      <c r="G63" t="inlineStr"/>
      <c r="H63" s="6" t="inlineStr"/>
      <c r="I63" t="inlineStr"/>
      <c r="J63" t="inlineStr">
        <is>
          <t>(해당 없음)</t>
        </is>
      </c>
      <c r="K63" t="inlineStr"/>
    </row>
    <row r="64">
      <c r="A64" t="n">
        <v>63</v>
      </c>
      <c r="B64" t="inlineStr">
        <is>
          <t>슈퍼주니어</t>
        </is>
      </c>
      <c r="C64" t="inlineStr">
        <is>
          <t>spillover</t>
        </is>
      </c>
      <c r="D64" s="2" t="inlineStr">
        <is>
          <t>'Sorry, Sorry'(2009)는 한국에서 25만장 이상 팔리며 대만·태국·중국·필리핀에서 가장 많이 팔린 K-pop 음반이 되었다</t>
        </is>
      </c>
      <c r="E64" t="inlineStr"/>
      <c r="F64" t="inlineStr">
        <is>
          <t>N</t>
        </is>
      </c>
      <c r="G64" t="inlineStr"/>
      <c r="H64" s="6" t="inlineStr"/>
      <c r="I64" t="inlineStr"/>
      <c r="J64" t="inlineStr">
        <is>
          <t>(해당 없음)</t>
        </is>
      </c>
      <c r="K64" t="inlineStr"/>
    </row>
    <row r="65">
      <c r="A65" t="n">
        <v>64</v>
      </c>
      <c r="B65" t="inlineStr">
        <is>
          <t>이문세</t>
        </is>
      </c>
      <c r="C65" t="inlineStr">
        <is>
          <t>spillover</t>
        </is>
      </c>
      <c r="D65" s="2" t="inlineStr">
        <is>
          <t>나무위키 '이문세' 문서에 따르면 이문세는 나무위키 분류상 '유튜브 공식 아티스트 채널'을 보유하고 있으며, 2015년 tvN 드라마 '응답하라 1988'의 시청지도서 나레이션을 맡는 등 드라마 관련 목소리 출연도 했다.</t>
        </is>
      </c>
      <c r="E65" t="inlineStr"/>
      <c r="F65" t="inlineStr">
        <is>
          <t>N</t>
        </is>
      </c>
      <c r="G65" t="inlineStr"/>
      <c r="H65" s="6" t="inlineStr"/>
      <c r="I65" t="inlineStr"/>
      <c r="J65" t="inlineStr">
        <is>
          <t>(해당 없음)</t>
        </is>
      </c>
      <c r="K65" t="inlineStr"/>
    </row>
    <row r="66">
      <c r="A66" t="n">
        <v>65</v>
      </c>
      <c r="B66" t="inlineStr">
        <is>
          <t>NCT</t>
        </is>
      </c>
      <c r="C66" t="inlineStr">
        <is>
          <t>loyalty</t>
        </is>
      </c>
      <c r="D66" s="2" t="inlineStr">
        <is>
          <t>'NCT 2020 Resonance'가 발매 두 달 만에 260만장 이상 팔리며 당시 SM엔터테인먼트 역대 최고 판매 실물 음반이 되었다.</t>
        </is>
      </c>
      <c r="E66" t="inlineStr"/>
      <c r="F66" t="inlineStr">
        <is>
          <t>N</t>
        </is>
      </c>
      <c r="G66" t="inlineStr"/>
      <c r="H66" s="6" t="inlineStr"/>
      <c r="I66" t="inlineStr"/>
      <c r="J66" t="inlineStr">
        <is>
          <t>(해당 없음)</t>
        </is>
      </c>
      <c r="K66" t="inlineStr"/>
    </row>
    <row r="67">
      <c r="A67" t="n">
        <v>66</v>
      </c>
      <c r="B67" t="inlineStr">
        <is>
          <t>이승철</t>
        </is>
      </c>
      <c r="C67" t="inlineStr">
        <is>
          <t>spillover</t>
        </is>
      </c>
      <c r="D67" s="2" t="inlineStr">
        <is>
          <t>2025년 가수 아이유는 자신의 앨범에 부활·이승철의 곡 '네버 엔딩 스토리'를 리메이크해 수록하며 새로운 세대에게 이 곡을 소개했다.</t>
        </is>
      </c>
      <c r="E67" t="inlineStr"/>
      <c r="F67" t="inlineStr">
        <is>
          <t>N</t>
        </is>
      </c>
      <c r="G67" t="inlineStr"/>
      <c r="H67" s="6" t="inlineStr"/>
      <c r="I67" t="inlineStr"/>
      <c r="J67" t="inlineStr">
        <is>
          <t>(해당 없음)</t>
        </is>
      </c>
      <c r="K67" t="inlineStr"/>
    </row>
    <row r="68">
      <c r="A68" t="n">
        <v>67</v>
      </c>
      <c r="B68" t="inlineStr">
        <is>
          <t>거미</t>
        </is>
      </c>
      <c r="C68" t="inlineStr">
        <is>
          <t>spillover</t>
        </is>
      </c>
      <c r="D68" s="2" t="inlineStr">
        <is>
          <t>중국 동영상 플랫폼 빌리빌리(哔哩哔哩/bilibili)에 거미의 '태양의 후예' OST 'You Are My Everything'을 중국 팬이 남성 버전으로 번안해 부른 커버 영상('你是我的一切 중문번안 남판')이 게시되어 있어, 중국 팬덤 내 2차 창작 활동이 확인된다.</t>
        </is>
      </c>
      <c r="E68" t="inlineStr"/>
      <c r="F68" t="inlineStr">
        <is>
          <t>N</t>
        </is>
      </c>
      <c r="G68" t="inlineStr"/>
      <c r="H68" s="6" t="inlineStr"/>
      <c r="I68" t="inlineStr"/>
      <c r="J68" t="inlineStr">
        <is>
          <t>(해당 없음)</t>
        </is>
      </c>
      <c r="K68" t="inlineStr"/>
    </row>
    <row r="69">
      <c r="A69" t="n">
        <v>68</v>
      </c>
      <c r="B69" t="inlineStr">
        <is>
          <t>거미</t>
        </is>
      </c>
      <c r="C69" t="inlineStr">
        <is>
          <t>spillover</t>
        </is>
      </c>
      <c r="D69" s="2" t="inlineStr">
        <is>
          <t>Collaborated widely across genres: T.O.P of Big Bang ("I'm Sorry," 2008/2011), Park Yuchun of JYJ ("Let's Play," 2014), Ailee ("Jealousy," 2018), and Bobby Kim's "Love Recipe" series</t>
        </is>
      </c>
      <c r="E69" t="inlineStr"/>
      <c r="F69" t="inlineStr">
        <is>
          <t>N</t>
        </is>
      </c>
      <c r="G69" t="inlineStr"/>
      <c r="H69" s="6" t="inlineStr"/>
      <c r="I69" t="inlineStr"/>
      <c r="J69" t="inlineStr">
        <is>
          <t>(해당 없음)</t>
        </is>
      </c>
      <c r="K69" t="inlineStr"/>
    </row>
    <row r="70">
      <c r="A70" t="n">
        <v>69</v>
      </c>
      <c r="B70" t="inlineStr">
        <is>
          <t>악동뮤지션</t>
        </is>
      </c>
      <c r="C70" t="inlineStr">
        <is>
          <t>spillover</t>
        </is>
      </c>
      <c r="D70" s="2" t="inlineStr">
        <is>
          <t>이찬혁 개인 스트리밍 누적 7071만 회, 이수현 개인 스트리밍 누적 8243만 회 등 듀오 외 개별 활동으로도 음원 시장 소비를 견인하고 있다.</t>
        </is>
      </c>
      <c r="E70" t="inlineStr"/>
      <c r="F70" t="inlineStr">
        <is>
          <t>N</t>
        </is>
      </c>
      <c r="G70" t="inlineStr"/>
      <c r="H70" s="6" t="inlineStr"/>
      <c r="I70" t="inlineStr"/>
      <c r="J70" t="inlineStr">
        <is>
          <t>(해당 없음)</t>
        </is>
      </c>
      <c r="K70" t="inlineStr"/>
    </row>
    <row r="71">
      <c r="A71" t="n">
        <v>70</v>
      </c>
      <c r="B71" t="inlineStr">
        <is>
          <t>BTS</t>
        </is>
      </c>
      <c r="C71" t="inlineStr">
        <is>
          <t>spillover</t>
        </is>
      </c>
      <c r="D71" s="2" t="inlineStr">
        <is>
          <t>2026년 3월 BTS 컴백 공연 기간을 전후해 한국 여행수지가 11년 4개월 만에 처음으로 월간 흑자(2억6,380만달러)를 기록했고, 같은 달 방한객 수도 206만명으로 역대 최다를 기록했다.</t>
        </is>
      </c>
      <c r="E71" t="inlineStr"/>
      <c r="F71" t="inlineStr">
        <is>
          <t>N</t>
        </is>
      </c>
      <c r="G71" t="inlineStr"/>
      <c r="H71" s="6" t="inlineStr"/>
      <c r="I71" t="inlineStr"/>
      <c r="J71" t="inlineStr">
        <is>
          <t>(해당 없음)</t>
        </is>
      </c>
      <c r="K71" t="inlineStr"/>
    </row>
    <row r="72">
      <c r="A72" t="n">
        <v>71</v>
      </c>
      <c r="B72" t="inlineStr">
        <is>
          <t>마마무</t>
        </is>
      </c>
      <c r="C72" t="inlineStr">
        <is>
          <t>spillover</t>
        </is>
      </c>
      <c r="D72" s="2" t="inlineStr">
        <is>
          <t>First world tour "MY CON" (Nov 2022–June 2023) included a 9-city US leg (New York, LA, Chicago, etc.)</t>
        </is>
      </c>
      <c r="E72" t="inlineStr"/>
      <c r="F72" t="inlineStr">
        <is>
          <t>N</t>
        </is>
      </c>
      <c r="G72" t="inlineStr"/>
      <c r="H72" s="6" t="inlineStr"/>
      <c r="I72" t="inlineStr"/>
      <c r="J72" t="inlineStr">
        <is>
          <t>(해당 없음)</t>
        </is>
      </c>
      <c r="K72" t="inlineStr"/>
    </row>
    <row r="73">
      <c r="A73" t="n">
        <v>72</v>
      </c>
      <c r="B73" t="inlineStr">
        <is>
          <t>정동원</t>
        </is>
      </c>
      <c r="C73" t="inlineStr">
        <is>
          <t>loyalty</t>
        </is>
      </c>
      <c r="D73" s="2" t="inlineStr">
        <is>
          <t>정동원의 10대 마지막 단독 콘서트 '동화' 전국투어는 서울·부산·대구·성남·대전 등 7개 도시에서 열려 총 3만5,000명의 관객을 동원했다.</t>
        </is>
      </c>
      <c r="E73" t="inlineStr"/>
      <c r="F73" t="inlineStr">
        <is>
          <t>N</t>
        </is>
      </c>
      <c r="G73" t="inlineStr"/>
      <c r="H73" s="6" t="inlineStr"/>
      <c r="I73" t="inlineStr"/>
      <c r="J73" t="inlineStr">
        <is>
          <t>(해당 없음)</t>
        </is>
      </c>
      <c r="K73" t="inlineStr"/>
    </row>
    <row r="74">
      <c r="A74" t="n">
        <v>73</v>
      </c>
      <c r="B74" t="inlineStr">
        <is>
          <t>HOT</t>
        </is>
      </c>
      <c r="C74" t="inlineStr">
        <is>
          <t>spillover</t>
        </is>
      </c>
      <c r="D74" s="2" t="inlineStr">
        <is>
          <t>H.O.T. 인기로 인해 교육부가 사상 세 차례 전국 조퇴금지령을 발령했고, 2018년 재결합 콘서트 때는 관련 SRT 이용객 수가 최고치를 경신함</t>
        </is>
      </c>
      <c r="E74" t="inlineStr"/>
      <c r="F74" t="inlineStr">
        <is>
          <t>N</t>
        </is>
      </c>
      <c r="G74" t="inlineStr"/>
      <c r="H74" s="6" t="inlineStr"/>
      <c r="I74" t="inlineStr"/>
      <c r="J74" t="inlineStr">
        <is>
          <t>(해당 없음)</t>
        </is>
      </c>
      <c r="K74" t="inlineStr"/>
    </row>
    <row r="75">
      <c r="A75" t="n">
        <v>74</v>
      </c>
      <c r="B75" t="inlineStr">
        <is>
          <t>최예나</t>
        </is>
      </c>
      <c r="C75" t="inlineStr">
        <is>
          <t>spillover</t>
        </is>
      </c>
      <c r="D75" s="2" t="inlineStr">
        <is>
          <t>스페인 K팝 매체 바나나(BA NA NA)가 최예나가 비비와 협업한 'SMiLEY'로 솔로 데뷔했다고 보도했다.</t>
        </is>
      </c>
      <c r="E75" t="inlineStr">
        <is>
          <t>협업</t>
        </is>
      </c>
      <c r="F75" t="inlineStr">
        <is>
          <t>N</t>
        </is>
      </c>
      <c r="G75" t="inlineStr"/>
      <c r="H75" s="6" t="inlineStr"/>
      <c r="I75" t="inlineStr"/>
      <c r="J75" t="inlineStr">
        <is>
          <t>(해당 없음)</t>
        </is>
      </c>
      <c r="K75" t="inlineStr"/>
    </row>
    <row r="76">
      <c r="A76" t="n">
        <v>75</v>
      </c>
      <c r="B76" t="inlineStr">
        <is>
          <t>Zion.T</t>
        </is>
      </c>
      <c r="C76" t="inlineStr">
        <is>
          <t>spillover</t>
        </is>
      </c>
      <c r="D76" s="2" t="inlineStr">
        <is>
          <t>이문세와 협업한 '눈(Snow)'(2017)은 국내 주요 음악 차트를 모두 석권했다</t>
        </is>
      </c>
      <c r="E76" t="inlineStr">
        <is>
          <t>협업</t>
        </is>
      </c>
      <c r="F76" t="inlineStr">
        <is>
          <t>N</t>
        </is>
      </c>
      <c r="G76" t="inlineStr"/>
      <c r="H76" s="6" t="inlineStr"/>
      <c r="I76" t="inlineStr"/>
      <c r="J76" t="inlineStr">
        <is>
          <t>(해당 없음)</t>
        </is>
      </c>
      <c r="K76" t="inlineStr"/>
    </row>
    <row r="77">
      <c r="A77" t="n">
        <v>76</v>
      </c>
      <c r="B77" t="inlineStr">
        <is>
          <t>임영웅</t>
        </is>
      </c>
      <c r="C77" t="inlineStr">
        <is>
          <t>loyalty</t>
        </is>
      </c>
      <c r="D77" s="2" t="inlineStr">
        <is>
          <t>임영웅 팬클럽 '영웅시대'는 2025년 8월 앨범 구입비 300만 원을 성금으로 기부했다.</t>
        </is>
      </c>
      <c r="E77" t="inlineStr"/>
      <c r="F77" t="inlineStr">
        <is>
          <t>N</t>
        </is>
      </c>
      <c r="G77" t="inlineStr"/>
      <c r="H77" s="6" t="inlineStr"/>
      <c r="I77" t="inlineStr"/>
      <c r="J77" t="inlineStr">
        <is>
          <t>(해당 없음)</t>
        </is>
      </c>
      <c r="K77" t="inlineStr"/>
    </row>
    <row r="78">
      <c r="A78" t="n">
        <v>77</v>
      </c>
      <c r="B78" t="inlineStr">
        <is>
          <t>나훈아</t>
        </is>
      </c>
      <c r="C78" t="inlineStr">
        <is>
          <t>spillover</t>
        </is>
      </c>
      <c r="D78" s="2" t="inlineStr">
        <is>
          <t>나훈아는 1972년 12월 백마부대에서 명예 대위 직함을 받고, 파월 장병을 위한 위문공연을 위해 베트남으로 출국하는 등 국방부·군 관련 명예직을 통한 위문 활동을 했다.</t>
        </is>
      </c>
      <c r="E78" t="inlineStr"/>
      <c r="F78" t="inlineStr">
        <is>
          <t>N</t>
        </is>
      </c>
      <c r="G78" t="inlineStr"/>
      <c r="H78" s="6" t="inlineStr"/>
      <c r="I78" t="inlineStr"/>
      <c r="J78" t="inlineStr">
        <is>
          <t>(해당 없음)</t>
        </is>
      </c>
      <c r="K78" t="inlineStr"/>
    </row>
    <row r="79">
      <c r="A79" t="n">
        <v>78</v>
      </c>
      <c r="B79" t="inlineStr">
        <is>
          <t>TWICE</t>
        </is>
      </c>
      <c r="C79" t="inlineStr">
        <is>
          <t>loyalty</t>
        </is>
      </c>
      <c r="D79" s="2" t="inlineStr">
        <is>
          <t>태국 매체 Thairath는 TWICE의 5번째 월드투어 'READY TO BE' 방콕 공연(2023년 9월 23~24일, 임팩트 아레나 무앙통타니, 라이브네이션 주최)을 "4년 만의 귀환"으로 소개하며 팬들에게 워밍업을 당부했다</t>
        </is>
      </c>
      <c r="E79" t="inlineStr"/>
      <c r="F79" t="inlineStr">
        <is>
          <t>N</t>
        </is>
      </c>
      <c r="G79" t="inlineStr"/>
      <c r="H79" s="6" t="inlineStr"/>
      <c r="I79" t="inlineStr"/>
      <c r="J79" t="inlineStr">
        <is>
          <t>(해당 없음)</t>
        </is>
      </c>
      <c r="K79" t="inlineStr"/>
    </row>
    <row r="80">
      <c r="A80" t="n">
        <v>79</v>
      </c>
      <c r="B80" t="inlineStr">
        <is>
          <t>몬스타엑스</t>
        </is>
      </c>
      <c r="C80" t="inlineStr">
        <is>
          <t>spillover</t>
        </is>
      </c>
      <c r="D80" s="2" t="inlineStr">
        <is>
          <t>"SPOTLIGHT" 발매 당일 오리콘 랭킹 2위, 이튿날 8,150장 추가 판매로 1위에 등극해 일본 내 인기를 보여준 사례로 소개됐다.</t>
        </is>
      </c>
      <c r="E80" t="inlineStr"/>
      <c r="F80" t="inlineStr">
        <is>
          <t>N</t>
        </is>
      </c>
      <c r="G80" t="inlineStr"/>
      <c r="H80" s="6" t="inlineStr"/>
      <c r="I80" t="inlineStr"/>
      <c r="J80" t="inlineStr">
        <is>
          <t>(해당 없음)</t>
        </is>
      </c>
      <c r="K80" t="inlineStr"/>
    </row>
    <row r="81">
      <c r="A81" t="n">
        <v>80</v>
      </c>
      <c r="B81" t="inlineStr">
        <is>
          <t>Stray Kids</t>
        </is>
      </c>
      <c r="C81" t="inlineStr">
        <is>
          <t>loyalty</t>
        </is>
      </c>
      <c r="D81" s="2" t="inlineStr">
        <is>
          <t>2023년 앨범 '5-Star'는 선주문 513만장을 기록하며 K팝 그룹 최초로 앨범 선주문 500만장을 돌파했고, 한국음악콘텐츠협회(KMCA)로부터 국내 세 번째로 '500만 앨범' 인증을 받았다.</t>
        </is>
      </c>
      <c r="E81" t="inlineStr"/>
      <c r="F81" t="inlineStr">
        <is>
          <t>N</t>
        </is>
      </c>
      <c r="G81" t="inlineStr"/>
      <c r="H81" s="6" t="inlineStr"/>
      <c r="I81" t="inlineStr"/>
      <c r="J81" t="inlineStr">
        <is>
          <t>(해당 없음)</t>
        </is>
      </c>
      <c r="K81" t="inlineStr"/>
    </row>
    <row r="82">
      <c r="A82" t="n">
        <v>81</v>
      </c>
      <c r="B82" t="inlineStr">
        <is>
          <t>몬스타엑스</t>
        </is>
      </c>
      <c r="C82" t="inlineStr">
        <is>
          <t>loyalty</t>
        </is>
      </c>
      <c r="D82" s="2" t="inlineStr">
        <is>
          <t>'The Phase' 활동 인터뷰에서 기현은 "팬들이 한국어로 떼창하는 걸 들으면서 우리가 왜 계속 무대에 서야 하는지 다시 깨달았다"고 말했다.</t>
        </is>
      </c>
      <c r="E82" t="inlineStr"/>
      <c r="F82" t="inlineStr">
        <is>
          <t>N</t>
        </is>
      </c>
      <c r="G82" t="inlineStr"/>
      <c r="H82" s="6" t="inlineStr"/>
      <c r="I82" t="inlineStr"/>
      <c r="J82" t="inlineStr">
        <is>
          <t>(해당 없음)</t>
        </is>
      </c>
      <c r="K82" t="inlineStr"/>
    </row>
    <row r="83">
      <c r="A83" t="n">
        <v>82</v>
      </c>
      <c r="B83" t="inlineStr">
        <is>
          <t>브라운아이즈</t>
        </is>
      </c>
      <c r="C83" t="inlineStr">
        <is>
          <t>loyalty</t>
        </is>
      </c>
      <c r="D83" s="2" t="inlineStr">
        <is>
          <t>나무위키 '팬덤/목록' 문서에 따르면 브라운아이즈의 공식 팬덤명은 'B.E(비이)'이며 공식 색깔은 갈색이다.</t>
        </is>
      </c>
      <c r="E83" t="inlineStr"/>
      <c r="F83" t="inlineStr">
        <is>
          <t>N</t>
        </is>
      </c>
      <c r="G83" t="inlineStr"/>
      <c r="H83" s="6" t="inlineStr"/>
      <c r="I83" t="inlineStr"/>
      <c r="J83" t="inlineStr">
        <is>
          <t>(해당 없음)</t>
        </is>
      </c>
      <c r="K83" t="inlineStr"/>
    </row>
    <row r="84">
      <c r="A84" t="n">
        <v>83</v>
      </c>
      <c r="B84" t="inlineStr">
        <is>
          <t>박정현</t>
        </is>
      </c>
      <c r="C84" t="inlineStr">
        <is>
          <t>spillover</t>
        </is>
      </c>
      <c r="D84" s="2" t="inlineStr">
        <is>
          <t>'작은 거인' 박정현이 복면가왕 최초로 무대에 올랐다.</t>
        </is>
      </c>
      <c r="E84" t="inlineStr"/>
      <c r="F84" t="inlineStr">
        <is>
          <t>N</t>
        </is>
      </c>
      <c r="G84" t="inlineStr"/>
      <c r="H84" s="6" t="inlineStr"/>
      <c r="I84" t="inlineStr"/>
      <c r="J84" t="inlineStr">
        <is>
          <t>(해당 없음)</t>
        </is>
      </c>
      <c r="K84" t="inlineStr"/>
    </row>
    <row r="85">
      <c r="A85" t="n">
        <v>84</v>
      </c>
      <c r="B85" t="inlineStr">
        <is>
          <t>프로미스나인</t>
        </is>
      </c>
      <c r="C85" t="inlineStr">
        <is>
          <t>loyalty</t>
        </is>
      </c>
      <c r="D85" s="2" t="inlineStr">
        <is>
          <t>2025년 1월 소속사(Asnd)를 옮기면서도 5인 멤버 전원이 완전체를 유지, 6번째 EP 'From Our 20's'(2025.6)를 발매했다.</t>
        </is>
      </c>
      <c r="E85" t="inlineStr"/>
      <c r="F85" t="inlineStr">
        <is>
          <t>N</t>
        </is>
      </c>
      <c r="G85" t="inlineStr"/>
      <c r="H85" s="6" t="inlineStr"/>
      <c r="I85" t="inlineStr"/>
      <c r="J85" t="inlineStr">
        <is>
          <t>(해당 없음)</t>
        </is>
      </c>
      <c r="K85" t="inlineStr"/>
    </row>
    <row r="86">
      <c r="A86" t="n">
        <v>85</v>
      </c>
      <c r="B86" t="inlineStr">
        <is>
          <t>SEVENTEEN</t>
        </is>
      </c>
      <c r="C86" t="inlineStr">
        <is>
          <t>spillover</t>
        </is>
      </c>
      <c r="D86" s="2" t="inlineStr">
        <is>
          <t>RNZ는 세븐틴이 영국 글래스턴베리 페스티벌에 출연해 K팝 그룹 최초로 역사를 썼다고 보도했다.</t>
        </is>
      </c>
      <c r="E86" t="inlineStr"/>
      <c r="F86" t="inlineStr">
        <is>
          <t>N</t>
        </is>
      </c>
      <c r="G86" t="inlineStr"/>
      <c r="H86" s="6" t="inlineStr"/>
      <c r="I86" t="inlineStr"/>
      <c r="J86" t="inlineStr">
        <is>
          <t>(해당 없음)</t>
        </is>
      </c>
      <c r="K86" t="inlineStr"/>
    </row>
    <row r="87">
      <c r="A87" t="n">
        <v>86</v>
      </c>
      <c r="B87" t="inlineStr">
        <is>
          <t>오마이걸</t>
        </is>
      </c>
      <c r="C87" t="inlineStr">
        <is>
          <t>spillover</t>
        </is>
      </c>
      <c r="D87" s="2" t="inlineStr">
        <is>
          <t>오마이걸 공식 유튜브 채널(@OHMYGIRL, 2015년 3월 개설)은 2026년 4월 기준 구독자 약 105만 명, 누적 조회수 약 5억 6,525만 회를 기록했으며, 뮤직비디오 외에도 'OH MY GIRL SKETCHBOOK', 'OH! CLIP', 브이로그 등 자체 예능형 콘텐츠를 정기적으로 제작한다.</t>
        </is>
      </c>
      <c r="E87" t="inlineStr"/>
      <c r="F87" t="inlineStr">
        <is>
          <t>N</t>
        </is>
      </c>
      <c r="G87" t="inlineStr"/>
      <c r="H87" s="6" t="inlineStr"/>
      <c r="I87" t="inlineStr"/>
      <c r="J87" t="inlineStr">
        <is>
          <t>(해당 없음)</t>
        </is>
      </c>
      <c r="K87" t="inlineStr"/>
    </row>
    <row r="88">
      <c r="A88" t="n">
        <v>87</v>
      </c>
      <c r="B88" t="inlineStr">
        <is>
          <t>워너원</t>
        </is>
      </c>
      <c r="C88" t="inlineStr">
        <is>
          <t>spillover</t>
        </is>
      </c>
      <c r="D88" s="2" t="inlineStr">
        <is>
          <t>Oricon.co.jp's weekly chart page tracked the Japanese-market release/import of Wanna One's "1×1=1 (To Be One)" on Japan's official albums chart.</t>
        </is>
      </c>
      <c r="E88" t="inlineStr"/>
      <c r="F88" t="inlineStr">
        <is>
          <t>N</t>
        </is>
      </c>
      <c r="G88" t="inlineStr"/>
      <c r="H88" s="6" t="inlineStr"/>
      <c r="I88" t="inlineStr"/>
      <c r="J88" t="inlineStr">
        <is>
          <t>(해당 없음)</t>
        </is>
      </c>
      <c r="K88" t="inlineStr"/>
    </row>
    <row r="89">
      <c r="A89" t="n">
        <v>88</v>
      </c>
      <c r="B89" t="inlineStr">
        <is>
          <t>NewJeans</t>
        </is>
      </c>
      <c r="C89" t="inlineStr">
        <is>
          <t>loyalty</t>
        </is>
      </c>
      <c r="D89" s="2" t="inlineStr">
        <is>
          <t>데뷔 EP 예약 판매량이 발매 3일 만에 44만 4천 장을 넘었다(2022년 7월).</t>
        </is>
      </c>
      <c r="E89" t="inlineStr"/>
      <c r="F89" t="inlineStr">
        <is>
          <t>N</t>
        </is>
      </c>
      <c r="G89" t="inlineStr"/>
      <c r="H89" s="6" t="inlineStr"/>
      <c r="I89" t="inlineStr"/>
      <c r="J89" t="inlineStr">
        <is>
          <t>(해당 없음)</t>
        </is>
      </c>
      <c r="K89" t="inlineStr"/>
    </row>
    <row r="90">
      <c r="A90" t="n">
        <v>89</v>
      </c>
      <c r="B90" t="inlineStr">
        <is>
          <t>god</t>
        </is>
      </c>
      <c r="C90" t="inlineStr">
        <is>
          <t>loyalty</t>
        </is>
      </c>
      <c r="D90" s="2" t="inlineStr">
        <is>
          <t>데뷔 28년 차 god가 데뷔 1만일 기념 'Sky Blue Balloon Week' 테마파크 행사를 성황리에 열었고, 팬 투표 플랫폼 Bstage 팀워크 부문 1위·손호영 개인 부문 1위, 공식 팬클럽 '팬지오디'의 예능 '팬덤 스테이지' 출연 등으로 견고한 팬덤 결속력을 보여줬다.</t>
        </is>
      </c>
      <c r="E90" t="inlineStr"/>
      <c r="F90" t="inlineStr">
        <is>
          <t>N</t>
        </is>
      </c>
      <c r="G90" t="inlineStr"/>
      <c r="H90" s="6" t="inlineStr"/>
      <c r="I90" t="inlineStr"/>
      <c r="J90" t="inlineStr">
        <is>
          <t>(해당 없음)</t>
        </is>
      </c>
      <c r="K90" t="inlineStr"/>
    </row>
    <row r="91">
      <c r="A91" t="n">
        <v>90</v>
      </c>
      <c r="B91" t="inlineStr">
        <is>
          <t>ATEEZ</t>
        </is>
      </c>
      <c r="C91" t="inlineStr">
        <is>
          <t>loyalty</t>
        </is>
      </c>
      <c r="D91" s="2" t="inlineStr">
        <is>
          <t>For the 2026 World Tour "In Your Fantasy" Australian dates, ATINY membership presale opened Nov 21, 2025 and a separate Frontier member presale opened Nov 24, ahead of general public on-sale Nov 25 — a tiered fan-first ticketing structure</t>
        </is>
      </c>
      <c r="E91" t="inlineStr"/>
      <c r="F91" t="inlineStr">
        <is>
          <t>N</t>
        </is>
      </c>
      <c r="G91" t="inlineStr"/>
      <c r="H91" s="6" t="inlineStr"/>
      <c r="I91" t="inlineStr"/>
      <c r="J91" t="inlineStr">
        <is>
          <t>(해당 없음)</t>
        </is>
      </c>
      <c r="K91" t="inlineStr"/>
    </row>
    <row r="92">
      <c r="A92" t="n">
        <v>91</v>
      </c>
      <c r="B92" t="inlineStr">
        <is>
          <t>비비</t>
        </is>
      </c>
      <c r="C92" t="inlineStr">
        <is>
          <t>spillover</t>
        </is>
      </c>
      <c r="D92" s="2" t="inlineStr">
        <is>
          <t>Time Out Hong Kong covered BIBI's 2025 "EVE" world tour stop in Hong Kong, reporting her as a "rising Korean star" bringing her world tour to the city — regional media coverage in 중화권(Greater China)</t>
        </is>
      </c>
      <c r="E92" t="inlineStr"/>
      <c r="F92" t="inlineStr">
        <is>
          <t>N</t>
        </is>
      </c>
      <c r="G92" t="inlineStr"/>
      <c r="H92" s="6" t="inlineStr"/>
      <c r="I92" t="inlineStr"/>
      <c r="J92" t="inlineStr">
        <is>
          <t>(해당 없음)</t>
        </is>
      </c>
      <c r="K92" t="inlineStr"/>
    </row>
    <row r="93">
      <c r="A93" t="n">
        <v>92</v>
      </c>
      <c r="B93" t="inlineStr">
        <is>
          <t>Hearts2Hearts</t>
        </is>
      </c>
      <c r="C93" t="inlineStr">
        <is>
          <t>spillover</t>
        </is>
      </c>
      <c r="D93" s="2" t="inlineStr">
        <is>
          <t>2026년 8월 12일 발매한 일본 데뷔 싱글 'ICONIC HEART'가 오리콘 및 빌보드 재팬 차트 동시 2위에 올라 여성 아티스트 일본 데뷔 싱글 중 올해 최고 첫 주 판매량을 기록했으며, 이후 홍콩 TIMA 시상식(8/22)에도 출연했다</t>
        </is>
      </c>
      <c r="E93" t="inlineStr"/>
      <c r="F93" t="inlineStr">
        <is>
          <t>N</t>
        </is>
      </c>
      <c r="G93" t="inlineStr"/>
      <c r="H93" s="6" t="inlineStr"/>
      <c r="I93" t="inlineStr"/>
      <c r="J93" t="inlineStr">
        <is>
          <t>(해당 없음)</t>
        </is>
      </c>
      <c r="K93" t="inlineStr"/>
    </row>
    <row r="94">
      <c r="A94" t="n">
        <v>93</v>
      </c>
      <c r="B94" t="inlineStr">
        <is>
          <t>IKON</t>
        </is>
      </c>
      <c r="C94" t="inlineStr">
        <is>
          <t>loyalty</t>
        </is>
      </c>
      <c r="D94" s="2" t="inlineStr">
        <is>
          <t>오사카 팬미팅에는 약 40,000명, 베이징 팬미팅에는 50,000명 이상이 응모해 해외 팬덤의 높은 수요를 보여주었다.</t>
        </is>
      </c>
      <c r="E94" t="inlineStr"/>
      <c r="F94" t="inlineStr">
        <is>
          <t>N</t>
        </is>
      </c>
      <c r="G94" t="inlineStr"/>
      <c r="H94" s="6" t="inlineStr"/>
      <c r="I94" t="inlineStr"/>
      <c r="J94" t="inlineStr">
        <is>
          <t>(해당 없음)</t>
        </is>
      </c>
      <c r="K94" t="inlineStr"/>
    </row>
    <row r="95">
      <c r="A95" t="n">
        <v>94</v>
      </c>
      <c r="B95" t="inlineStr">
        <is>
          <t>린</t>
        </is>
      </c>
      <c r="C95" t="inlineStr">
        <is>
          <t>loyalty</t>
        </is>
      </c>
      <c r="D95" s="2" t="inlineStr">
        <is>
          <t>린은 2026년 6월 27일 이화여자대학교 삼성홀 콘서트 'Queen of Serenade'에서 관객과 대화하며 무반주 공연을 진행하는 등 팬들에게 직접 감사를 표하는 무대를 선보였다.</t>
        </is>
      </c>
      <c r="E95" t="inlineStr"/>
      <c r="F95" t="inlineStr">
        <is>
          <t>N</t>
        </is>
      </c>
      <c r="G95" t="inlineStr"/>
      <c r="H95" s="6" t="inlineStr"/>
      <c r="I95" t="inlineStr"/>
      <c r="J95" t="inlineStr">
        <is>
          <t>(해당 없음)</t>
        </is>
      </c>
      <c r="K95" t="inlineStr"/>
    </row>
    <row r="96">
      <c r="A96" t="n">
        <v>95</v>
      </c>
      <c r="B96" t="inlineStr">
        <is>
          <t>이문세</t>
        </is>
      </c>
      <c r="C96" t="inlineStr">
        <is>
          <t>spillover</t>
        </is>
      </c>
      <c r="D96" s="2" t="inlineStr">
        <is>
          <t>이문세는 2025년 6월 7년 만에 북미 투어를 열어 6월14일 뉴저지 NJPAC, 6월21일 로스앤젤레스 피콕시어터에서 공연했다고 영어 매체 Best of Korea가 보도했다.</t>
        </is>
      </c>
      <c r="E96" t="inlineStr"/>
      <c r="F96" t="inlineStr">
        <is>
          <t>N</t>
        </is>
      </c>
      <c r="G96" t="inlineStr"/>
      <c r="H96" s="6" t="inlineStr"/>
      <c r="I96" t="inlineStr"/>
      <c r="J96" t="inlineStr">
        <is>
          <t>(해당 없음)</t>
        </is>
      </c>
      <c r="K96" t="inlineStr"/>
    </row>
    <row r="97">
      <c r="A97" t="n">
        <v>96</v>
      </c>
      <c r="B97" t="inlineStr">
        <is>
          <t>지코</t>
        </is>
      </c>
      <c r="C97" t="inlineStr">
        <is>
          <t>spillover</t>
        </is>
      </c>
      <c r="D97" s="2" t="inlineStr">
        <is>
          <t>일본 Infoseek(wowkorea 경유)는 ZICO의 도쿄 공연이 성황을 이루었으며 그가 "이 자리에서 새로운 챕터를 시작하고 싶다"는 메시지를 전했다고 보도했다.</t>
        </is>
      </c>
      <c r="E97" t="inlineStr"/>
      <c r="F97" t="inlineStr">
        <is>
          <t>N</t>
        </is>
      </c>
      <c r="G97" t="inlineStr"/>
      <c r="H97" s="6" t="inlineStr"/>
      <c r="I97" t="inlineStr"/>
      <c r="J97" t="inlineStr">
        <is>
          <t>(해당 없음)</t>
        </is>
      </c>
      <c r="K97" t="inlineStr"/>
    </row>
    <row r="98">
      <c r="A98" t="n">
        <v>97</v>
      </c>
      <c r="B98" t="inlineStr">
        <is>
          <t>SEVENTEEN</t>
        </is>
      </c>
      <c r="C98" t="inlineStr">
        <is>
          <t>loyalty</t>
        </is>
      </c>
      <c r="D98" s="2" t="inlineStr">
        <is>
          <t>NZ 헤럴드는 세븐틴의 뉴질랜드 팬클럽 '캐럿(Carats)'이 그룹을 환영하는 영상 편지를 제작해 공개했다고 보도했다.</t>
        </is>
      </c>
      <c r="E98" t="inlineStr"/>
      <c r="F98" t="inlineStr">
        <is>
          <t>N</t>
        </is>
      </c>
      <c r="G98" t="inlineStr"/>
      <c r="H98" s="6" t="inlineStr"/>
      <c r="I98" t="inlineStr"/>
      <c r="J98" t="inlineStr">
        <is>
          <t>(해당 없음)</t>
        </is>
      </c>
      <c r="K98" t="inlineStr"/>
    </row>
    <row r="99">
      <c r="A99" t="n">
        <v>98</v>
      </c>
      <c r="B99" t="inlineStr">
        <is>
          <t>윤하</t>
        </is>
      </c>
      <c r="C99" t="inlineStr">
        <is>
          <t>loyalty</t>
        </is>
      </c>
      <c r="D99" s="2" t="inlineStr">
        <is>
          <t>데뷔 20주년을 맞아 2024년 서울 블루스퀘어에서 열린 소극장 콘서트(2015·2016·2019년에 이은 4번째 시리즈)에서 팬클럽 선예매가 일반 예매보다 하루 앞서 진행되어 충성 팬 우선 배려 구조가 유지되고 있음</t>
        </is>
      </c>
      <c r="E99" t="inlineStr"/>
      <c r="F99" t="inlineStr">
        <is>
          <t>N</t>
        </is>
      </c>
      <c r="G99" t="inlineStr"/>
      <c r="H99" s="6" t="inlineStr"/>
      <c r="I99" t="inlineStr"/>
      <c r="J99" t="inlineStr">
        <is>
          <t>(해당 없음)</t>
        </is>
      </c>
      <c r="K99" t="inlineStr"/>
    </row>
    <row r="100">
      <c r="A100" t="n">
        <v>99</v>
      </c>
      <c r="B100" t="inlineStr">
        <is>
          <t>빅마마</t>
        </is>
      </c>
      <c r="C100" t="inlineStr">
        <is>
          <t>spillover</t>
        </is>
      </c>
      <c r="D100" s="2" t="inlineStr">
        <is>
          <t>빅마마는 2022년 2월 11년 만의 정규앨범인 6집 '본(本)'을 발매했다.</t>
        </is>
      </c>
      <c r="E100" t="inlineStr"/>
      <c r="F100" t="inlineStr">
        <is>
          <t>N</t>
        </is>
      </c>
      <c r="G100" t="inlineStr"/>
      <c r="H100" s="6" t="inlineStr"/>
      <c r="I100" t="inlineStr"/>
      <c r="J100" t="inlineStr">
        <is>
          <t>(해당 없음)</t>
        </is>
      </c>
      <c r="K100" t="inlineStr"/>
    </row>
    <row r="101">
      <c r="A101" t="n">
        <v>100</v>
      </c>
      <c r="B101" t="inlineStr">
        <is>
          <t>BLACKPINK</t>
        </is>
      </c>
      <c r="C101" t="inlineStr">
        <is>
          <t>spillover</t>
        </is>
      </c>
      <c r="D101" s="2" t="inlineStr">
        <is>
          <t>블랙핑크 지수가 2026년 1월21일 발표된 넷플릭스 오리지널 시리즈 '월간남친'에 웹툰 PD 서미래 역으로 캐스팅, 서인국과 호흡을 맞추며 서강준·이수혁·김성철이 특별출연한다. 2026년 1분기 190여개국 동시공개 예정.</t>
        </is>
      </c>
      <c r="E101" t="inlineStr"/>
      <c r="F101" t="inlineStr">
        <is>
          <t>N</t>
        </is>
      </c>
      <c r="G101" t="inlineStr"/>
      <c r="H101" s="6" t="inlineStr"/>
      <c r="I101" t="inlineStr"/>
      <c r="J101" t="inlineStr">
        <is>
          <t>(해당 없음)</t>
        </is>
      </c>
      <c r="K101" t="inlineStr"/>
    </row>
    <row r="102">
      <c r="A102" t="n">
        <v>101</v>
      </c>
      <c r="B102" t="inlineStr">
        <is>
          <t>Crush</t>
        </is>
      </c>
      <c r="C102" t="inlineStr">
        <is>
          <t>spillover</t>
        </is>
      </c>
      <c r="D102" s="2" t="inlineStr">
        <is>
          <t>크러쉬는 SBS 드라마 '괜찮아, 사랑이야'(2014) OST에 펀치와 함께 '잠 못드는 밤'을 피처링으로 참여했다.</t>
        </is>
      </c>
      <c r="E102" t="inlineStr"/>
      <c r="F102" t="inlineStr">
        <is>
          <t>N</t>
        </is>
      </c>
      <c r="G102" t="inlineStr"/>
      <c r="H102" s="6" t="inlineStr"/>
      <c r="I102" t="inlineStr"/>
      <c r="J102" t="inlineStr">
        <is>
          <t>(해당 없음)</t>
        </is>
      </c>
      <c r="K102" t="inlineStr"/>
    </row>
    <row r="103">
      <c r="A103" t="n">
        <v>102</v>
      </c>
      <c r="B103" t="inlineStr">
        <is>
          <t>DAY6</t>
        </is>
      </c>
      <c r="C103" t="inlineStr">
        <is>
          <t>loyalty</t>
        </is>
      </c>
      <c r="D103" s="2" t="inlineStr">
        <is>
          <t>데이식스 원필은 2026년 5월 1~3일 'WONPIL SOLO CONCERT Unpiltered'를 열었으며, 이는 2022년 첫 솔로 정규앨범 'Pilmography' 이후 약 4년 2개월 만의 개인 단독 콘서트였다.</t>
        </is>
      </c>
      <c r="E103" t="inlineStr"/>
      <c r="F103" t="inlineStr">
        <is>
          <t>N</t>
        </is>
      </c>
      <c r="G103" t="inlineStr"/>
      <c r="H103" s="6" t="inlineStr"/>
      <c r="I103" t="inlineStr"/>
      <c r="J103" t="inlineStr">
        <is>
          <t>(해당 없음)</t>
        </is>
      </c>
      <c r="K103" t="inlineStr"/>
    </row>
    <row r="104">
      <c r="A104" t="n">
        <v>103</v>
      </c>
      <c r="B104" t="inlineStr">
        <is>
          <t>A-pink</t>
        </is>
      </c>
      <c r="C104" t="inlineStr">
        <is>
          <t>loyalty</t>
        </is>
      </c>
      <c r="D104" s="2" t="inlineStr">
        <is>
          <t>신랑(sina.cn)에는 웨이보 초화(超話) 게시물 "Apink5000天快乐！一直走花路"가 뉴스로 전재되어 데뷔 5000일을 기념하는 중국 팬덤 활동이 확인된다.</t>
        </is>
      </c>
      <c r="E104" t="inlineStr"/>
      <c r="F104" t="inlineStr">
        <is>
          <t>N</t>
        </is>
      </c>
      <c r="G104" t="inlineStr"/>
      <c r="H104" s="6" t="inlineStr"/>
      <c r="I104" t="inlineStr"/>
      <c r="J104" t="inlineStr">
        <is>
          <t>(해당 없음)</t>
        </is>
      </c>
      <c r="K104" t="inlineStr"/>
    </row>
    <row r="105">
      <c r="A105" t="n">
        <v>104</v>
      </c>
      <c r="B105" t="inlineStr">
        <is>
          <t>장윤정</t>
        </is>
      </c>
      <c r="C105" t="inlineStr">
        <is>
          <t>loyalty</t>
        </is>
      </c>
      <c r="D105" s="2" t="inlineStr">
        <is>
          <t>공식 팬클럽명은 '레모네이드'이며 상징색은 노란색이다.</t>
        </is>
      </c>
      <c r="E105" t="inlineStr"/>
      <c r="F105" t="inlineStr">
        <is>
          <t>N</t>
        </is>
      </c>
      <c r="G105" t="inlineStr"/>
      <c r="H105" s="6" t="inlineStr"/>
      <c r="I105" t="inlineStr"/>
      <c r="J105" t="inlineStr">
        <is>
          <t>(해당 없음)</t>
        </is>
      </c>
      <c r="K105" t="inlineStr"/>
    </row>
    <row r="106">
      <c r="A106" t="n">
        <v>105</v>
      </c>
      <c r="B106" t="inlineStr">
        <is>
          <t>보아</t>
        </is>
      </c>
      <c r="C106" t="inlineStr">
        <is>
          <t>spillover</t>
        </is>
      </c>
      <c r="D106" s="2" t="inlineStr">
        <is>
          <t>보아는 2010~2011년 방영된 KBS2 드라마 '아테나: 전쟁의 여신'에 카메오로 출연했다.</t>
        </is>
      </c>
      <c r="E106" t="inlineStr"/>
      <c r="F106" t="inlineStr">
        <is>
          <t>N</t>
        </is>
      </c>
      <c r="G106" t="inlineStr"/>
      <c r="H106" s="6" t="inlineStr"/>
      <c r="I106" t="inlineStr"/>
      <c r="J106" t="inlineStr">
        <is>
          <t>(해당 없음)</t>
        </is>
      </c>
      <c r="K106" t="inlineStr"/>
    </row>
    <row r="107">
      <c r="A107" s="7" t="n">
        <v>106</v>
      </c>
      <c r="B107" s="7" t="inlineStr">
        <is>
          <t>카더가든</t>
        </is>
      </c>
      <c r="C107" s="7" t="inlineStr">
        <is>
          <t>spillover</t>
        </is>
      </c>
      <c r="D107" s="8" t="inlineStr">
        <is>
          <t>Became a promotional face for 나무증권 (Namu Securities), featured on the app's startup screen April 14–21, 2026</t>
        </is>
      </c>
      <c r="E107" s="7" t="inlineStr"/>
      <c r="F107" s="7" t="inlineStr">
        <is>
          <t>Y</t>
        </is>
      </c>
      <c r="G107" s="7" t="inlineStr">
        <is>
          <t>promotional face (영문 광고모델)</t>
        </is>
      </c>
      <c r="H107" s="7" t="inlineStr"/>
      <c r="I107" s="7" t="inlineStr"/>
      <c r="J107" s="7" t="inlineStr">
        <is>
          <t>(해당 없음)</t>
        </is>
      </c>
      <c r="K107" s="7" t="inlineStr"/>
    </row>
    <row r="108">
      <c r="A108" t="n">
        <v>107</v>
      </c>
      <c r="B108" t="inlineStr">
        <is>
          <t>빅마마</t>
        </is>
      </c>
      <c r="C108" t="inlineStr">
        <is>
          <t>spillover</t>
        </is>
      </c>
      <c r="D108" s="2" t="inlineStr">
        <is>
          <t>빅마마 데뷔 이후 버블시스터즈, 씨야, 가비엔제이, 브라운아이드걸스 등 다수의 실력파 여성 보컬 그룹이 등장했다는 평가를 받는다</t>
        </is>
      </c>
      <c r="E108" t="inlineStr"/>
      <c r="F108" t="inlineStr">
        <is>
          <t>N</t>
        </is>
      </c>
      <c r="G108" t="inlineStr"/>
      <c r="H108" s="6" t="inlineStr"/>
      <c r="I108" t="inlineStr"/>
      <c r="J108" t="inlineStr">
        <is>
          <t>(해당 없음)</t>
        </is>
      </c>
      <c r="K108" t="inlineStr"/>
    </row>
    <row r="109">
      <c r="A109" t="n">
        <v>108</v>
      </c>
      <c r="B109" t="inlineStr">
        <is>
          <t>송가인</t>
        </is>
      </c>
      <c r="C109" t="inlineStr">
        <is>
          <t>spillover</t>
        </is>
      </c>
      <c r="D109" s="2" t="inlineStr">
        <is>
          <t>송가인이 2019년 9월 14일 MBC '전지적 참견 시점'에 출연해 우승 이후 살인적인 스케줄과 리무진 생활 등을 다뤘다.</t>
        </is>
      </c>
      <c r="E109" t="inlineStr"/>
      <c r="F109" t="inlineStr">
        <is>
          <t>N</t>
        </is>
      </c>
      <c r="G109" t="inlineStr"/>
      <c r="H109" s="6" t="inlineStr"/>
      <c r="I109" t="inlineStr"/>
      <c r="J109" t="inlineStr">
        <is>
          <t>(해당 없음)</t>
        </is>
      </c>
      <c r="K109" t="inlineStr"/>
    </row>
    <row r="110">
      <c r="A110" t="n">
        <v>109</v>
      </c>
      <c r="B110" t="inlineStr">
        <is>
          <t>김연자</t>
        </is>
      </c>
      <c r="C110" t="inlineStr">
        <is>
          <t>spillover</t>
        </is>
      </c>
      <c r="D110" s="2" t="inlineStr">
        <is>
          <t>2000년 3월 외국인 최초로 일본 마쓰오 예능상을 수상했다.</t>
        </is>
      </c>
      <c r="E110" t="inlineStr"/>
      <c r="F110" t="inlineStr">
        <is>
          <t>N</t>
        </is>
      </c>
      <c r="G110" t="inlineStr"/>
      <c r="H110" s="6" t="inlineStr"/>
      <c r="I110" t="inlineStr"/>
      <c r="J110" t="inlineStr">
        <is>
          <t>(해당 없음)</t>
        </is>
      </c>
      <c r="K110" t="inlineStr"/>
    </row>
    <row r="111">
      <c r="A111" t="n">
        <v>110</v>
      </c>
      <c r="B111" t="inlineStr">
        <is>
          <t>에픽하이</t>
        </is>
      </c>
      <c r="C111" t="inlineStr">
        <is>
          <t>loyalty</t>
        </is>
      </c>
      <c r="D111" s="2" t="inlineStr">
        <is>
          <t>콘서트 전석 매진 소식이 화제성 있는 제목으로 보도될 만큼 티켓 파워를 인정받았다.</t>
        </is>
      </c>
      <c r="E111" t="inlineStr"/>
      <c r="F111" t="inlineStr">
        <is>
          <t>N</t>
        </is>
      </c>
      <c r="G111" t="inlineStr"/>
      <c r="H111" s="6" t="inlineStr"/>
      <c r="I111" t="inlineStr"/>
      <c r="J111" t="inlineStr">
        <is>
          <t>(해당 없음)</t>
        </is>
      </c>
      <c r="K111" t="inlineStr"/>
    </row>
    <row r="112">
      <c r="A112" t="n">
        <v>111</v>
      </c>
      <c r="B112" t="inlineStr">
        <is>
          <t>청하</t>
        </is>
      </c>
      <c r="C112" t="inlineStr">
        <is>
          <t>spillover</t>
        </is>
      </c>
      <c r="D112" s="2" t="inlineStr">
        <is>
          <t>청하와 엑스디너리 히어로즈가 '스포티파이 랩드 라이브 인도네시아 2024'에 출연했다는 기사.</t>
        </is>
      </c>
      <c r="E112" t="inlineStr"/>
      <c r="F112" t="inlineStr">
        <is>
          <t>N</t>
        </is>
      </c>
      <c r="G112" t="inlineStr"/>
      <c r="H112" s="6" t="inlineStr"/>
      <c r="I112" t="inlineStr"/>
      <c r="J112" t="inlineStr">
        <is>
          <t>(해당 없음)</t>
        </is>
      </c>
      <c r="K112" t="inlineStr"/>
    </row>
    <row r="113">
      <c r="A113" t="n">
        <v>112</v>
      </c>
      <c r="B113" t="inlineStr">
        <is>
          <t>거미</t>
        </is>
      </c>
      <c r="C113" t="inlineStr">
        <is>
          <t>spillover</t>
        </is>
      </c>
      <c r="D113" s="2" t="inlineStr">
        <is>
          <t>거미가 부른 드라마 '태양의 후예' OST 'You Are My Everything'은 벅스뮤직 차트에서 발매 다음 날 1위에 올라 7일간 정상을 지켰다.</t>
        </is>
      </c>
      <c r="E113" t="inlineStr"/>
      <c r="F113" t="inlineStr">
        <is>
          <t>N</t>
        </is>
      </c>
      <c r="G113" t="inlineStr"/>
      <c r="H113" s="6" t="inlineStr"/>
      <c r="I113" t="inlineStr"/>
      <c r="J113" t="inlineStr">
        <is>
          <t>(해당 없음)</t>
        </is>
      </c>
      <c r="K113" t="inlineStr"/>
    </row>
    <row r="114">
      <c r="A114" t="n">
        <v>113</v>
      </c>
      <c r="B114" t="inlineStr">
        <is>
          <t>윤하</t>
        </is>
      </c>
      <c r="C114" t="inlineStr">
        <is>
          <t>spillover</t>
        </is>
      </c>
      <c r="D114" s="2" t="inlineStr">
        <is>
          <t>윤하의 '사건의 지평선'(2022)은 써클(구 가온) 디지털차트 1위를 기록했다</t>
        </is>
      </c>
      <c r="E114" t="inlineStr"/>
      <c r="F114" t="inlineStr">
        <is>
          <t>N</t>
        </is>
      </c>
      <c r="G114" t="inlineStr"/>
      <c r="H114" s="6" t="inlineStr"/>
      <c r="I114" t="inlineStr"/>
      <c r="J114" t="inlineStr">
        <is>
          <t>(해당 없음)</t>
        </is>
      </c>
      <c r="K114" t="inlineStr"/>
    </row>
    <row r="115">
      <c r="A115" t="n">
        <v>114</v>
      </c>
      <c r="B115" t="inlineStr">
        <is>
          <t>TWICE</t>
        </is>
      </c>
      <c r="C115" t="inlineStr">
        <is>
          <t>loyalty</t>
        </is>
      </c>
      <c r="D115" s="2" t="inlineStr">
        <is>
          <t>TWICE 공식 팬클럽 ONCE는 2017년 1기 출범 이후 2025년 4월 29일부터 5기가 운영 중이며, 국내 ONCE CANDY와 해외 ONCE JELLY로 구분해 지속적으로 팬덤을 조직해왔다</t>
        </is>
      </c>
      <c r="E115" t="inlineStr"/>
      <c r="F115" t="inlineStr">
        <is>
          <t>N</t>
        </is>
      </c>
      <c r="G115" t="inlineStr"/>
      <c r="H115" s="6" t="inlineStr"/>
      <c r="I115" t="inlineStr"/>
      <c r="J115" t="inlineStr">
        <is>
          <t>(해당 없음)</t>
        </is>
      </c>
      <c r="K115" t="inlineStr"/>
    </row>
    <row r="116">
      <c r="A116" t="n">
        <v>115</v>
      </c>
      <c r="B116" t="inlineStr">
        <is>
          <t>HOT</t>
        </is>
      </c>
      <c r="C116" t="inlineStr">
        <is>
          <t>spillover</t>
        </is>
      </c>
      <c r="D116" s="2" t="inlineStr">
        <is>
          <t>2025년 11월 인천 인스파이어 아레나에서 열린 한터뮤직페스티벌의 H.O.T. 완전체 공연을 코리아타임스가 영어 기사로 보도하며 '현대 K팝 형성에 중요한 역할을 한 선구적 그룹'으로 소개했고, 강타는 '서로 다른 세대의 아이돌들이 한 무대에 서기는 쉽지 않다'며 후배들과의 공연에 감사를 표했다.</t>
        </is>
      </c>
      <c r="E116" t="inlineStr"/>
      <c r="F116" t="inlineStr">
        <is>
          <t>N</t>
        </is>
      </c>
      <c r="G116" t="inlineStr"/>
      <c r="H116" s="6" t="inlineStr"/>
      <c r="I116" t="inlineStr"/>
      <c r="J116" t="inlineStr">
        <is>
          <t>(해당 없음)</t>
        </is>
      </c>
      <c r="K116" t="inlineStr"/>
    </row>
    <row r="117">
      <c r="A117" t="n">
        <v>116</v>
      </c>
      <c r="B117" t="inlineStr">
        <is>
          <t>BLACKPINK</t>
        </is>
      </c>
      <c r="C117" t="inlineStr">
        <is>
          <t>spillover</t>
        </is>
      </c>
      <c r="D117" s="2" t="inlineStr">
        <is>
          <t>Univision covered how to get tickets for BLACKPINK's San Francisco concert</t>
        </is>
      </c>
      <c r="E117" t="inlineStr"/>
      <c r="F117" t="inlineStr">
        <is>
          <t>N</t>
        </is>
      </c>
      <c r="G117" t="inlineStr"/>
      <c r="H117" s="6" t="inlineStr"/>
      <c r="I117" t="inlineStr"/>
      <c r="J117" t="inlineStr">
        <is>
          <t>(해당 없음)</t>
        </is>
      </c>
      <c r="K117" t="inlineStr"/>
    </row>
    <row r="118">
      <c r="A118" t="n">
        <v>117</v>
      </c>
      <c r="B118" t="inlineStr">
        <is>
          <t>비비</t>
        </is>
      </c>
      <c r="C118" t="inlineStr">
        <is>
          <t>spillover</t>
        </is>
      </c>
      <c r="D118" s="2" t="inlineStr">
        <is>
          <t>비비는 2023년 디즈니+ 드라마 '최악의 악'에서 이해련 역, 2024년 디즈니+ '강남 비-사이드'에서 김재희 역, 2024년 SBS '열혈사제2'에서 구자영 역을 맡아 배우로 활동했다.</t>
        </is>
      </c>
      <c r="E118" t="inlineStr"/>
      <c r="F118" t="inlineStr">
        <is>
          <t>N</t>
        </is>
      </c>
      <c r="G118" t="inlineStr"/>
      <c r="H118" s="6" t="inlineStr"/>
      <c r="I118" t="inlineStr"/>
      <c r="J118" t="inlineStr">
        <is>
          <t>(해당 없음)</t>
        </is>
      </c>
      <c r="K118" t="inlineStr"/>
    </row>
    <row r="119">
      <c r="A119" t="n">
        <v>118</v>
      </c>
      <c r="B119" t="inlineStr">
        <is>
          <t>임영웅</t>
        </is>
      </c>
      <c r="C119" t="inlineStr">
        <is>
          <t>loyalty</t>
        </is>
      </c>
      <c r="D119" s="2" t="inlineStr">
        <is>
          <t>2025년 9월 서울 콘서트 티켓이 오픈과 동시 전석 매진되고 대기자만 16만 명에 달했다.</t>
        </is>
      </c>
      <c r="E119" t="inlineStr"/>
      <c r="F119" t="inlineStr">
        <is>
          <t>N</t>
        </is>
      </c>
      <c r="G119" t="inlineStr"/>
      <c r="H119" s="6" t="inlineStr"/>
      <c r="I119" t="inlineStr"/>
      <c r="J119" t="inlineStr">
        <is>
          <t>(해당 없음)</t>
        </is>
      </c>
      <c r="K119" t="inlineStr"/>
    </row>
    <row r="120">
      <c r="A120" t="n">
        <v>119</v>
      </c>
      <c r="B120" t="inlineStr">
        <is>
          <t>박재범</t>
        </is>
      </c>
      <c r="C120" t="inlineStr">
        <is>
          <t>spillover</t>
        </is>
      </c>
      <c r="D120" s="2" t="inlineStr">
        <is>
          <t>코리아타임스가 넷플릭스 드라마 '월간남친(Boyfriend on Demand)'(2026)에서 박재범이 파티 장면에서 여주인공에게 춤을 청하는 '가상 남친' 역할로 특별출연한다고 보도했다.</t>
        </is>
      </c>
      <c r="E120" t="inlineStr"/>
      <c r="F120" t="inlineStr">
        <is>
          <t>N</t>
        </is>
      </c>
      <c r="G120" t="inlineStr"/>
      <c r="H120" s="6" t="inlineStr"/>
      <c r="I120" t="inlineStr"/>
      <c r="J120" t="inlineStr">
        <is>
          <t>(해당 없음)</t>
        </is>
      </c>
      <c r="K120" t="inlineStr"/>
    </row>
    <row r="121">
      <c r="A121" t="n">
        <v>120</v>
      </c>
      <c r="B121" t="inlineStr">
        <is>
          <t>백지영</t>
        </is>
      </c>
      <c r="C121" t="inlineStr">
        <is>
          <t>loyalty</t>
        </is>
      </c>
      <c r="D121" s="2" t="inlineStr">
        <is>
          <t>First solo concert in seven years drew crowds at Jamsil Gymnasium, Seoul (Feb 16, 2013), followed by a nationwide tour (March 2013) and her first sold-out Japan performance (May 2013)</t>
        </is>
      </c>
      <c r="E121" t="inlineStr"/>
      <c r="F121" t="inlineStr">
        <is>
          <t>N</t>
        </is>
      </c>
      <c r="G121" t="inlineStr"/>
      <c r="H121" s="6" t="inlineStr"/>
      <c r="I121" t="inlineStr"/>
      <c r="J121" t="inlineStr">
        <is>
          <t>(해당 없음)</t>
        </is>
      </c>
      <c r="K121" t="inlineStr"/>
    </row>
    <row r="122">
      <c r="A122" t="n">
        <v>121</v>
      </c>
      <c r="B122" t="inlineStr">
        <is>
          <t>거미</t>
        </is>
      </c>
      <c r="C122" t="inlineStr">
        <is>
          <t>loyalty</t>
        </is>
      </c>
      <c r="D122" s="2" t="inlineStr">
        <is>
          <t>2024년 단독 전국투어 콘서트 〈LOVE〉가 서울 등에서 진행되며 티켓 판매가 이어짐</t>
        </is>
      </c>
      <c r="E122" t="inlineStr"/>
      <c r="F122" t="inlineStr">
        <is>
          <t>N</t>
        </is>
      </c>
      <c r="G122" t="inlineStr"/>
      <c r="H122" s="6" t="inlineStr"/>
      <c r="I122" t="inlineStr"/>
      <c r="J122" t="inlineStr">
        <is>
          <t>(해당 없음)</t>
        </is>
      </c>
      <c r="K122" t="inlineStr"/>
    </row>
    <row r="123">
      <c r="A123" t="n">
        <v>122</v>
      </c>
      <c r="B123" t="inlineStr">
        <is>
          <t>청하</t>
        </is>
      </c>
      <c r="C123" t="inlineStr">
        <is>
          <t>spillover</t>
        </is>
      </c>
      <c r="D123" s="2" t="inlineStr">
        <is>
          <t>2026.9.1 스페인어권 시장 겨냥 디지털 싱글 'México' 발매</t>
        </is>
      </c>
      <c r="E123" t="inlineStr"/>
      <c r="F123" t="inlineStr">
        <is>
          <t>N</t>
        </is>
      </c>
      <c r="G123" t="inlineStr"/>
      <c r="H123" s="6" t="inlineStr"/>
      <c r="I123" t="inlineStr"/>
      <c r="J123" t="inlineStr">
        <is>
          <t>(해당 없음)</t>
        </is>
      </c>
      <c r="K123" t="inlineStr"/>
    </row>
    <row r="124">
      <c r="A124" t="n">
        <v>123</v>
      </c>
      <c r="B124" t="inlineStr">
        <is>
          <t>아이오아이</t>
        </is>
      </c>
      <c r="C124" t="inlineStr">
        <is>
          <t>loyalty</t>
        </is>
      </c>
      <c r="D124" s="2" t="inlineStr">
        <is>
          <t>업계 분석가들은 I.O.I·워너원 등 프로젝트 그룹의 재결합 동력을 "오디션을 통한 성장 서사(growth narrative)가 시간이 지나도 쉽게 사라지지 않는 팬덤을 만든다"는 점에서 찾았다 — 즉 경연 과정 자체가 장기 팬 충성도의 근원이라는 산업 분석</t>
        </is>
      </c>
      <c r="E124" t="inlineStr"/>
      <c r="F124" t="inlineStr">
        <is>
          <t>N</t>
        </is>
      </c>
      <c r="G124" t="inlineStr"/>
      <c r="H124" s="6" t="inlineStr"/>
      <c r="I124" t="inlineStr"/>
      <c r="J124" t="inlineStr">
        <is>
          <t>(해당 없음)</t>
        </is>
      </c>
      <c r="K124" t="inlineStr"/>
    </row>
    <row r="125">
      <c r="A125" t="n">
        <v>124</v>
      </c>
      <c r="B125" t="inlineStr">
        <is>
          <t>박효신</t>
        </is>
      </c>
      <c r="C125" t="inlineStr">
        <is>
          <t>spillover</t>
        </is>
      </c>
      <c r="D125" s="2" t="inlineStr">
        <is>
          <t>박효신은 SBS 드라마 '일지매'(2008) OST '꽃신'을 불렀다.</t>
        </is>
      </c>
      <c r="E125" t="inlineStr"/>
      <c r="F125" t="inlineStr">
        <is>
          <t>N</t>
        </is>
      </c>
      <c r="G125" t="inlineStr"/>
      <c r="H125" s="6" t="inlineStr"/>
      <c r="I125" t="inlineStr"/>
      <c r="J125" t="inlineStr">
        <is>
          <t>(해당 없음)</t>
        </is>
      </c>
      <c r="K125" t="inlineStr"/>
    </row>
    <row r="126">
      <c r="A126" t="n">
        <v>125</v>
      </c>
      <c r="B126" t="inlineStr">
        <is>
          <t>이찬원</t>
        </is>
      </c>
      <c r="C126" t="inlineStr">
        <is>
          <t>spillover</t>
        </is>
      </c>
      <c r="D126" s="2" t="inlineStr">
        <is>
          <t>이찬원이 KM차트 2026년 8월 월간 K-MUSIC ARTIST 부문 1위와 HOT CHOICE 남성 부문 1위를 차지하며 스트레이 키즈·방탄소년단을 제쳤다.</t>
        </is>
      </c>
      <c r="E126" t="inlineStr"/>
      <c r="F126" t="inlineStr">
        <is>
          <t>N</t>
        </is>
      </c>
      <c r="G126" t="inlineStr"/>
      <c r="H126" s="6" t="inlineStr"/>
      <c r="I126" t="inlineStr"/>
      <c r="J126" t="inlineStr">
        <is>
          <t>(해당 없음)</t>
        </is>
      </c>
      <c r="K126" t="inlineStr"/>
    </row>
    <row r="127">
      <c r="A127" t="n">
        <v>126</v>
      </c>
      <c r="B127" t="inlineStr">
        <is>
          <t>다이나믹듀오</t>
        </is>
      </c>
      <c r="C127" t="inlineStr">
        <is>
          <t>loyalty</t>
        </is>
      </c>
      <c r="D127" s="2" t="inlineStr">
        <is>
          <t>군 복무 후 동반 제대할 당시 300여 명의 팬과 슈프림팀이 현장에서 환영할 정도로 팬덤의 결속력이 강했다.</t>
        </is>
      </c>
      <c r="E127" t="inlineStr"/>
      <c r="F127" t="inlineStr">
        <is>
          <t>N</t>
        </is>
      </c>
      <c r="G127" t="inlineStr"/>
      <c r="H127" s="6" t="inlineStr"/>
      <c r="I127" t="inlineStr"/>
      <c r="J127" t="inlineStr">
        <is>
          <t>(해당 없음)</t>
        </is>
      </c>
      <c r="K127" t="inlineStr"/>
    </row>
    <row r="128">
      <c r="A128" t="n">
        <v>127</v>
      </c>
      <c r="B128" t="inlineStr">
        <is>
          <t>A-pink</t>
        </is>
      </c>
      <c r="C128" t="inlineStr">
        <is>
          <t>loyalty</t>
        </is>
      </c>
      <c r="D128" s="2" t="inlineStr">
        <is>
          <t>Apink, 태국 팬들 마음을 핑크빛으로 물들일 밀착 팬미팅 예고</t>
        </is>
      </c>
      <c r="E128" t="inlineStr"/>
      <c r="F128" t="inlineStr">
        <is>
          <t>N</t>
        </is>
      </c>
      <c r="G128" t="inlineStr"/>
      <c r="H128" s="6" t="inlineStr"/>
      <c r="I128" t="inlineStr"/>
      <c r="J128" t="inlineStr">
        <is>
          <t>(해당 없음)</t>
        </is>
      </c>
      <c r="K128" t="inlineStr"/>
    </row>
    <row r="129">
      <c r="A129" t="n">
        <v>128</v>
      </c>
      <c r="B129" t="inlineStr">
        <is>
          <t>보아</t>
        </is>
      </c>
      <c r="C129" t="inlineStr">
        <is>
          <t>spillover</t>
        </is>
      </c>
      <c r="D129" s="2" t="inlineStr">
        <is>
          <t>스페인 K-pop 매체 BA NA NA(bloglabanana.com)가 SM엔터테인먼트가 보아의 데뷔 20주년을 기념해 다른 아티스트들이 그의 히트곡을 재해석해 부른 헌정 프로젝트 'Our Beloved BoA'를 진행했다고 보도했다.</t>
        </is>
      </c>
      <c r="E129" t="inlineStr"/>
      <c r="F129" t="inlineStr">
        <is>
          <t>N</t>
        </is>
      </c>
      <c r="G129" t="inlineStr"/>
      <c r="H129" s="6" t="inlineStr"/>
      <c r="I129" t="inlineStr"/>
      <c r="J129" t="inlineStr">
        <is>
          <t>(해당 없음)</t>
        </is>
      </c>
      <c r="K129" t="inlineStr"/>
    </row>
    <row r="130">
      <c r="A130" t="n">
        <v>129</v>
      </c>
      <c r="B130" t="inlineStr">
        <is>
          <t>BTS</t>
        </is>
      </c>
      <c r="C130" t="inlineStr">
        <is>
          <t>spillover</t>
        </is>
      </c>
      <c r="D130" s="2" t="inlineStr">
        <is>
          <t>한국은행 분석에 따르면 BTS는 한국 경제에 연간 약 50억 달러(약 5조원)를 기여하며 GDP를 약 0.5%포인트 끌어올리는 효과를 냈다.</t>
        </is>
      </c>
      <c r="E130" t="inlineStr"/>
      <c r="F130" t="inlineStr">
        <is>
          <t>N</t>
        </is>
      </c>
      <c r="G130" t="inlineStr"/>
      <c r="H130" s="6" t="inlineStr"/>
      <c r="I130" t="inlineStr"/>
      <c r="J130" t="inlineStr">
        <is>
          <t>(해당 없음)</t>
        </is>
      </c>
      <c r="K130" t="inlineStr"/>
    </row>
    <row r="131">
      <c r="A131" s="7" t="n">
        <v>130</v>
      </c>
      <c r="B131" s="7" t="inlineStr">
        <is>
          <t>정동원</t>
        </is>
      </c>
      <c r="C131" s="7" t="inlineStr">
        <is>
          <t>spillover</t>
        </is>
      </c>
      <c r="D131" s="8" t="inlineStr">
        <is>
          <t>Became a seolleongtang brand model, which coincided with the fan cafe's 18,300-bowl donation drive.</t>
        </is>
      </c>
      <c r="E131" s="7" t="inlineStr"/>
      <c r="F131" s="7" t="inlineStr">
        <is>
          <t>Y</t>
        </is>
      </c>
      <c r="G131" s="7" t="inlineStr">
        <is>
          <t>brand model (영문)</t>
        </is>
      </c>
      <c r="H131" s="7" t="inlineStr"/>
      <c r="I131" s="7" t="inlineStr"/>
      <c r="J131" s="7" t="inlineStr">
        <is>
          <t>(해당 없음)</t>
        </is>
      </c>
      <c r="K131" s="7" t="inlineStr"/>
    </row>
    <row r="132">
      <c r="A132" t="n">
        <v>131</v>
      </c>
      <c r="B132" t="inlineStr">
        <is>
          <t>빅마마</t>
        </is>
      </c>
      <c r="C132" t="inlineStr">
        <is>
          <t>spillover</t>
        </is>
      </c>
      <c r="D132" s="2" t="inlineStr">
        <is>
          <t>2021년 재결합 이후 빅마마는 딩고 킬링보이스, 유희열의 스케치북, 유 퀴즈 온 더 블럭, 놀면 뭐하니? 등 주요 방송 프로그램에 출연했다.</t>
        </is>
      </c>
      <c r="E132" t="inlineStr"/>
      <c r="F132" t="inlineStr">
        <is>
          <t>N</t>
        </is>
      </c>
      <c r="G132" t="inlineStr"/>
      <c r="H132" s="6" t="inlineStr"/>
      <c r="I132" t="inlineStr"/>
      <c r="J132" t="inlineStr">
        <is>
          <t>(해당 없음)</t>
        </is>
      </c>
      <c r="K132" t="inlineStr"/>
    </row>
    <row r="133">
      <c r="A133" t="n">
        <v>132</v>
      </c>
      <c r="B133" t="inlineStr">
        <is>
          <t>정동원</t>
        </is>
      </c>
      <c r="C133" t="inlineStr">
        <is>
          <t>spillover</t>
        </is>
      </c>
      <c r="D133" s="2" t="inlineStr">
        <is>
          <t>미국 연예매체 allkpop은 트로트 가수 정동원(활동명 JD1)이 약 2년간 안무·스타일링을 준비해 신곡 'Who Am I'를 발표하고 댄스 중심 아이돌 그룹 결성을 위한 오디션을 진행 중이라고 보도했다.</t>
        </is>
      </c>
      <c r="E133" t="inlineStr"/>
      <c r="F133" t="inlineStr">
        <is>
          <t>N</t>
        </is>
      </c>
      <c r="G133" t="inlineStr"/>
      <c r="H133" s="6" t="inlineStr"/>
      <c r="I133" t="inlineStr"/>
      <c r="J133" t="inlineStr">
        <is>
          <t>(해당 없음)</t>
        </is>
      </c>
      <c r="K133" t="inlineStr"/>
    </row>
    <row r="134">
      <c r="A134" t="n">
        <v>133</v>
      </c>
      <c r="B134" t="inlineStr">
        <is>
          <t>동방신기</t>
        </is>
      </c>
      <c r="C134" t="inlineStr">
        <is>
          <t>spillover</t>
        </is>
      </c>
      <c r="D134" s="2" t="inlineStr">
        <is>
          <t>TVXQ set a record as the first act with the most performances at Nissan Stadium, Japan in 2026</t>
        </is>
      </c>
      <c r="E134" t="inlineStr"/>
      <c r="F134" t="inlineStr">
        <is>
          <t>N</t>
        </is>
      </c>
      <c r="G134" t="inlineStr"/>
      <c r="H134" s="6" t="inlineStr"/>
      <c r="I134" t="inlineStr"/>
      <c r="J134" t="inlineStr">
        <is>
          <t>(해당 없음)</t>
        </is>
      </c>
      <c r="K134" t="inlineStr"/>
    </row>
    <row r="135">
      <c r="A135" t="n">
        <v>134</v>
      </c>
      <c r="B135" t="inlineStr">
        <is>
          <t>BTOB</t>
        </is>
      </c>
      <c r="C135" t="inlineStr">
        <is>
          <t>loyalty</t>
        </is>
      </c>
      <c r="D135" s="2" t="inlineStr">
        <is>
          <t>2024년 7년 만에 마닐라에서 'Our Dream' 아시아투어 첫 스타트를 끊으며 필리핀 팬들에게 '정말 감사하다'고 밝힘</t>
        </is>
      </c>
      <c r="E135" t="inlineStr"/>
      <c r="F135" t="inlineStr">
        <is>
          <t>N</t>
        </is>
      </c>
      <c r="G135" t="inlineStr"/>
      <c r="H135" s="6" t="inlineStr"/>
      <c r="I135" t="inlineStr"/>
      <c r="J135" t="inlineStr">
        <is>
          <t>(해당 없음)</t>
        </is>
      </c>
      <c r="K135" t="inlineStr"/>
    </row>
    <row r="136">
      <c r="A136" t="n">
        <v>135</v>
      </c>
      <c r="B136" t="inlineStr">
        <is>
          <t>BABYMONSTER</t>
        </is>
      </c>
      <c r="C136" t="inlineStr">
        <is>
          <t>loyalty</t>
        </is>
      </c>
      <c r="D136" s="2" t="inlineStr">
        <is>
          <t>태국 방콕 팬미팅(2024.8.30)에서 파리타·치키타가 가족·친구 앞 첫 무대</t>
        </is>
      </c>
      <c r="E136" t="inlineStr"/>
      <c r="F136" t="inlineStr">
        <is>
          <t>N</t>
        </is>
      </c>
      <c r="G136" t="inlineStr"/>
      <c r="H136" s="6" t="inlineStr"/>
      <c r="I136" t="inlineStr"/>
      <c r="J136" t="inlineStr">
        <is>
          <t>(해당 없음)</t>
        </is>
      </c>
      <c r="K136" t="inlineStr"/>
    </row>
    <row r="137">
      <c r="A137" t="n">
        <v>136</v>
      </c>
      <c r="B137" t="inlineStr">
        <is>
          <t>이승철</t>
        </is>
      </c>
      <c r="C137" t="inlineStr">
        <is>
          <t>loyalty</t>
        </is>
      </c>
      <c r="D137" s="2" t="inlineStr">
        <is>
          <t>Active concert schedule continuing into 2025-2026 with "오케스트락" concert series (오케스트락2 in 2025, 오케스트락3 listed on KOPIS) reflecting sustained demand for orchestral-format shows</t>
        </is>
      </c>
      <c r="E137" t="inlineStr"/>
      <c r="F137" t="inlineStr">
        <is>
          <t>N</t>
        </is>
      </c>
      <c r="G137" t="inlineStr"/>
      <c r="H137" s="6" t="inlineStr"/>
      <c r="I137" t="inlineStr"/>
      <c r="J137" t="inlineStr">
        <is>
          <t>(해당 없음)</t>
        </is>
      </c>
      <c r="K137" t="inlineStr"/>
    </row>
    <row r="138">
      <c r="A138" t="n">
        <v>137</v>
      </c>
      <c r="B138" t="inlineStr">
        <is>
          <t>GOT7</t>
        </is>
      </c>
      <c r="C138" t="inlineStr">
        <is>
          <t>spillover</t>
        </is>
      </c>
      <c r="D138" s="2" t="inlineStr">
        <is>
          <t>갓세븐은 2019년 포브스코리아가 발표한 '파워 셀러브리티 40'에서 37위에 올라 음악 산업을 넘어선 대중적 영향력을 인정받았다.</t>
        </is>
      </c>
      <c r="E138" t="inlineStr"/>
      <c r="F138" t="inlineStr">
        <is>
          <t>N</t>
        </is>
      </c>
      <c r="G138" t="inlineStr"/>
      <c r="H138" s="6" t="inlineStr"/>
      <c r="I138" t="inlineStr"/>
      <c r="J138" t="inlineStr">
        <is>
          <t>(해당 없음)</t>
        </is>
      </c>
      <c r="K138" t="inlineStr"/>
    </row>
    <row r="139">
      <c r="A139" t="n">
        <v>138</v>
      </c>
      <c r="B139" t="inlineStr">
        <is>
          <t>레드벨벳</t>
        </is>
      </c>
      <c r="C139" t="inlineStr">
        <is>
          <t>spillover</t>
        </is>
      </c>
      <c r="D139" s="2" t="inlineStr">
        <is>
          <t>데뷔 10주년 기념 다큐멘터리가 브라질 극장에서 개봉한다고 브라질 문화매체 JWave가 보도</t>
        </is>
      </c>
      <c r="E139" t="inlineStr"/>
      <c r="F139" t="inlineStr">
        <is>
          <t>N</t>
        </is>
      </c>
      <c r="G139" t="inlineStr"/>
      <c r="H139" s="6" t="inlineStr"/>
      <c r="I139" t="inlineStr"/>
      <c r="J139" t="inlineStr">
        <is>
          <t>(해당 없음)</t>
        </is>
      </c>
      <c r="K139" t="inlineStr"/>
    </row>
    <row r="140">
      <c r="A140" t="n">
        <v>139</v>
      </c>
      <c r="B140" t="inlineStr">
        <is>
          <t>임영웅</t>
        </is>
      </c>
      <c r="C140" t="inlineStr">
        <is>
          <t>spillover</t>
        </is>
      </c>
      <c r="D140" s="2" t="inlineStr">
        <is>
          <t>데뷔 앨범 'IM HERO' 초동 판매량이 110만 장을 넘어 솔로 가수 신기록을 세웠다.</t>
        </is>
      </c>
      <c r="E140" t="inlineStr"/>
      <c r="F140" t="inlineStr">
        <is>
          <t>N</t>
        </is>
      </c>
      <c r="G140" t="inlineStr"/>
      <c r="H140" s="6" t="inlineStr"/>
      <c r="I140" t="inlineStr"/>
      <c r="J140" t="inlineStr">
        <is>
          <t>(해당 없음)</t>
        </is>
      </c>
      <c r="K140" t="inlineStr"/>
    </row>
    <row r="141">
      <c r="A141" t="n">
        <v>140</v>
      </c>
      <c r="B141" t="inlineStr">
        <is>
          <t>보아</t>
        </is>
      </c>
      <c r="C141" t="inlineStr">
        <is>
          <t>spillover</t>
        </is>
      </c>
      <c r="D141" s="2" t="inlineStr">
        <is>
          <t>중국 대형 뉴스 포털 시나닷컴(sina.cn)이 BoA의 근황을 보도하며, 그녀가 2024년 7월 19일부터 21일까지 마카오 갤럭시 아레나에서 열리는 중화권 음악 축제 "2024 TMEA 5th 腾讯"에 출연한다고 전했다. 기사는 은퇴설로 팬들이 불안해했으나 그녀가 직접 "계약 만료일은 2025년 12월 31일이며, 그때까지 가수 BoA로서 행복하게 최선을 다하겠다"고 밝혔다고 인용했다.</t>
        </is>
      </c>
      <c r="E141" t="inlineStr"/>
      <c r="F141" t="inlineStr">
        <is>
          <t>N</t>
        </is>
      </c>
      <c r="G141" t="inlineStr"/>
      <c r="H141" s="6" t="inlineStr"/>
      <c r="I141" t="inlineStr"/>
      <c r="J141" t="inlineStr">
        <is>
          <t>(해당 없음)</t>
        </is>
      </c>
      <c r="K141" t="inlineStr"/>
    </row>
    <row r="142">
      <c r="A142" t="n">
        <v>141</v>
      </c>
      <c r="B142" t="inlineStr">
        <is>
          <t>김동률</t>
        </is>
      </c>
      <c r="C142" t="inlineStr">
        <is>
          <t>loyalty</t>
        </is>
      </c>
      <c r="D142" s="2" t="inlineStr">
        <is>
          <t>2018년 한 매체의 결혼식 축가 인기 순위 조사에서 김동률·이소은의 듀엣곡 '기적'이 5위에 올랐다.</t>
        </is>
      </c>
      <c r="E142" t="inlineStr"/>
      <c r="F142" t="inlineStr">
        <is>
          <t>N</t>
        </is>
      </c>
      <c r="G142" t="inlineStr"/>
      <c r="H142" s="6" t="inlineStr"/>
      <c r="I142" t="inlineStr"/>
      <c r="J142" t="inlineStr">
        <is>
          <t>(해당 없음)</t>
        </is>
      </c>
      <c r="K142" t="inlineStr"/>
    </row>
    <row r="143">
      <c r="A143" t="n">
        <v>142</v>
      </c>
      <c r="B143" t="inlineStr">
        <is>
          <t>BTS</t>
        </is>
      </c>
      <c r="C143" t="inlineStr">
        <is>
          <t>spillover</t>
        </is>
      </c>
      <c r="D143" s="2" t="inlineStr">
        <is>
          <t>한국은행 추산에 따르면 BTS는 한국 경제에 연간 약 50억 달러(GDP 약 0.5%)를 기여하는 것으로 나타났다</t>
        </is>
      </c>
      <c r="E143" t="inlineStr"/>
      <c r="F143" t="inlineStr">
        <is>
          <t>N</t>
        </is>
      </c>
      <c r="G143" t="inlineStr"/>
      <c r="H143" s="6" t="inlineStr"/>
      <c r="I143" t="inlineStr"/>
      <c r="J143" t="inlineStr">
        <is>
          <t>(해당 없음)</t>
        </is>
      </c>
      <c r="K143" t="inlineStr"/>
    </row>
    <row r="144">
      <c r="A144" t="n">
        <v>143</v>
      </c>
      <c r="B144" t="inlineStr">
        <is>
          <t>NewJeans</t>
        </is>
      </c>
      <c r="C144" t="inlineStr">
        <is>
          <t>loyalty</t>
        </is>
      </c>
      <c r="D144" s="2" t="inlineStr">
        <is>
          <t>News.qq.com reported on member Hyein/Haerin(姜谐潾)'s magazine-cover solo comeback activity after returning to ADOR</t>
        </is>
      </c>
      <c r="E144" t="inlineStr"/>
      <c r="F144" t="inlineStr">
        <is>
          <t>N</t>
        </is>
      </c>
      <c r="G144" t="inlineStr"/>
      <c r="H144" s="6" t="inlineStr"/>
      <c r="I144" t="inlineStr"/>
      <c r="J144" t="inlineStr">
        <is>
          <t>(해당 없음)</t>
        </is>
      </c>
      <c r="K144" t="inlineStr"/>
    </row>
    <row r="145">
      <c r="A145" t="n">
        <v>144</v>
      </c>
      <c r="B145" t="inlineStr">
        <is>
          <t>엔믹스</t>
        </is>
      </c>
      <c r="C145" t="inlineStr">
        <is>
          <t>loyalty</t>
        </is>
      </c>
      <c r="D145" s="2" t="inlineStr">
        <is>
          <t>NMIXX 가오슝 공연(7/11·7/12 양일간) 소식을 Yahoo奇摩新聞(대만)이 보도.</t>
        </is>
      </c>
      <c r="E145" t="inlineStr"/>
      <c r="F145" t="inlineStr">
        <is>
          <t>N</t>
        </is>
      </c>
      <c r="G145" t="inlineStr"/>
      <c r="H145" s="6" t="inlineStr"/>
      <c r="I145" t="inlineStr"/>
      <c r="J145" t="inlineStr">
        <is>
          <t>(해당 없음)</t>
        </is>
      </c>
      <c r="K145" t="inlineStr"/>
    </row>
    <row r="146">
      <c r="A146" t="n">
        <v>145</v>
      </c>
      <c r="B146" t="inlineStr">
        <is>
          <t>Crush</t>
        </is>
      </c>
      <c r="C146" t="inlineStr">
        <is>
          <t>spillover</t>
        </is>
      </c>
      <c r="D146" s="2" t="inlineStr">
        <is>
          <t>Zico와 함께 '쇼미더머니12'(2026.1.15~) 프로듀서로 참여, 팀원 김하온이 우승하며 예능·힙합 신에서 영향력을 확장했다</t>
        </is>
      </c>
      <c r="E146" t="inlineStr"/>
      <c r="F146" t="inlineStr">
        <is>
          <t>N</t>
        </is>
      </c>
      <c r="G146" t="inlineStr"/>
      <c r="H146" s="6" t="inlineStr"/>
      <c r="I146" t="inlineStr"/>
      <c r="J146" t="inlineStr">
        <is>
          <t>(해당 없음)</t>
        </is>
      </c>
      <c r="K146" t="inlineStr"/>
    </row>
    <row r="147">
      <c r="A147" t="n">
        <v>146</v>
      </c>
      <c r="B147" t="inlineStr">
        <is>
          <t>조용필</t>
        </is>
      </c>
      <c r="C147" t="inlineStr">
        <is>
          <t>loyalty</t>
        </is>
      </c>
      <c r="D147" s="2" t="inlineStr">
        <is>
          <t>2025년 8월 KBS 특별 콘서트 1차 티켓이 오픈 3분 만에 100% 예매율을 달성하며 매진됨.</t>
        </is>
      </c>
      <c r="E147" t="inlineStr"/>
      <c r="F147" t="inlineStr">
        <is>
          <t>N</t>
        </is>
      </c>
      <c r="G147" t="inlineStr"/>
      <c r="H147" s="6" t="inlineStr"/>
      <c r="I147" t="inlineStr"/>
      <c r="J147" t="inlineStr">
        <is>
          <t>(해당 없음)</t>
        </is>
      </c>
      <c r="K147" t="inlineStr"/>
    </row>
    <row r="148">
      <c r="A148" t="n">
        <v>147</v>
      </c>
      <c r="B148" t="inlineStr">
        <is>
          <t>이찬원</t>
        </is>
      </c>
      <c r="C148" t="inlineStr">
        <is>
          <t>loyalty</t>
        </is>
      </c>
      <c r="D148" s="2" t="inlineStr">
        <is>
          <t>이찬원 팬클럽 '찬스'는 2026년 3월 데뷔 6주년을 기념해 아름다운재단에 약 2365만원을 기부했으며, 이 기부금은 자립준비청년의 학업생활보조비 및 진로탐색 활동 지원에 쓰인다.</t>
        </is>
      </c>
      <c r="E148" t="inlineStr"/>
      <c r="F148" t="inlineStr">
        <is>
          <t>N</t>
        </is>
      </c>
      <c r="G148" t="inlineStr"/>
      <c r="H148" s="6" t="inlineStr"/>
      <c r="I148" t="inlineStr"/>
      <c r="J148" t="inlineStr">
        <is>
          <t>(해당 없음)</t>
        </is>
      </c>
      <c r="K148" t="inlineStr"/>
    </row>
    <row r="149">
      <c r="A149" t="n">
        <v>148</v>
      </c>
      <c r="B149" t="inlineStr">
        <is>
          <t>엄정화</t>
        </is>
      </c>
      <c r="C149" t="inlineStr">
        <is>
          <t>loyalty</t>
        </is>
      </c>
      <c r="D149" s="2" t="inlineStr">
        <is>
          <t>엄정화는 2023년 12월 서울(잠실학생체육관)·대구(EXCO)·부산(BEXCO) 등 3개 도시에서 총 4회, 20여 년 만의 단독 콘서트 '초대'를 열었다.</t>
        </is>
      </c>
      <c r="E149" t="inlineStr"/>
      <c r="F149" t="inlineStr">
        <is>
          <t>N</t>
        </is>
      </c>
      <c r="G149" t="inlineStr"/>
      <c r="H149" s="6" t="inlineStr"/>
      <c r="I149" t="inlineStr"/>
      <c r="J149" t="inlineStr">
        <is>
          <t>(해당 없음)</t>
        </is>
      </c>
      <c r="K149" t="inlineStr"/>
    </row>
    <row r="150">
      <c r="A150" t="n">
        <v>149</v>
      </c>
      <c r="B150" t="inlineStr">
        <is>
          <t>볼빨간사춘기</t>
        </is>
      </c>
      <c r="C150" t="inlineStr">
        <is>
          <t>loyalty</t>
        </is>
      </c>
      <c r="D150" s="2" t="inlineStr">
        <is>
          <t>Held year-end solo concerts Dec 30-31, 2025 to perform their new comeback album "Merry Go Round" live for fans.</t>
        </is>
      </c>
      <c r="E150" t="inlineStr"/>
      <c r="F150" t="inlineStr">
        <is>
          <t>N</t>
        </is>
      </c>
      <c r="G150" t="inlineStr"/>
      <c r="H150" s="6" t="inlineStr"/>
      <c r="I150" t="inlineStr"/>
      <c r="J150" t="inlineStr">
        <is>
          <t>(해당 없음)</t>
        </is>
      </c>
      <c r="K150" t="inlineStr"/>
    </row>
    <row r="151">
      <c r="A151" t="n">
        <v>150</v>
      </c>
      <c r="B151" t="inlineStr">
        <is>
          <t>CORTIS</t>
        </is>
      </c>
      <c r="C151" t="inlineStr">
        <is>
          <t>loyalty</t>
        </is>
      </c>
      <c r="D151" s="2" t="inlineStr">
        <is>
          <t>CORTIS가 2026년 알로뱅크 페스티벌에서 인도네시아 아레나 무대에 오른다는 기사(스트리밍 가능).</t>
        </is>
      </c>
      <c r="E151" t="inlineStr"/>
      <c r="F151" t="inlineStr">
        <is>
          <t>N</t>
        </is>
      </c>
      <c r="G151" t="inlineStr"/>
      <c r="H151" s="6" t="inlineStr"/>
      <c r="I151" t="inlineStr"/>
      <c r="J151" t="inlineStr">
        <is>
          <t>(해당 없음)</t>
        </is>
      </c>
      <c r="K151" t="inlineStr"/>
    </row>
    <row r="152">
      <c r="A152" t="n">
        <v>151</v>
      </c>
      <c r="B152" t="inlineStr">
        <is>
          <t>투어스(TWS)</t>
        </is>
      </c>
      <c r="C152" t="inlineStr">
        <is>
          <t>spillover</t>
        </is>
      </c>
      <c r="D152" s="2" t="inlineStr">
        <is>
          <t>TWS won two awards at the 40th Japan Gold Disc Awards — 'New Artist of the Year (Asia)' and 'Best 3 New Artist (Asia)' — after their July 2025 Japanese debut single 'Nice to see you again' earned four gold certifications in its first week and topped major Japanese charts, with platinum certification (250,000+ shipments) from the Japan Records Association.</t>
        </is>
      </c>
      <c r="E152" t="inlineStr"/>
      <c r="F152" t="inlineStr">
        <is>
          <t>N</t>
        </is>
      </c>
      <c r="G152" t="inlineStr"/>
      <c r="H152" s="6" t="inlineStr"/>
      <c r="I152" t="inlineStr"/>
      <c r="J152" t="inlineStr">
        <is>
          <t>(해당 없음)</t>
        </is>
      </c>
      <c r="K152" t="inlineStr"/>
    </row>
    <row r="153">
      <c r="A153" t="n">
        <v>152</v>
      </c>
      <c r="B153" t="inlineStr">
        <is>
          <t>잔나비</t>
        </is>
      </c>
      <c r="C153" t="inlineStr">
        <is>
          <t>spillover</t>
        </is>
      </c>
      <c r="D153" s="2" t="inlineStr">
        <is>
          <t>대만 매체 udn 산하 문화 매체 500 Times가 잔나비(JANNABI)의 첫 아시아투어 'Sweat &amp; Stardust' 타이베이 공연(2026년 6월 27일, TICC)을 보도했다. 기사는 잔나비를 "隱藏在K-POP光芒背後、韓國獨有抒情性的樂團"(K팝의 화려함 뒤에 숨어 있는, 한국 고유의 서정성을 지닌 밴드)이라고 소개했다.</t>
        </is>
      </c>
      <c r="E153" t="inlineStr"/>
      <c r="F153" t="inlineStr">
        <is>
          <t>N</t>
        </is>
      </c>
      <c r="G153" t="inlineStr"/>
      <c r="H153" s="6" t="inlineStr"/>
      <c r="I153" t="inlineStr"/>
      <c r="J153" t="inlineStr">
        <is>
          <t>(해당 없음)</t>
        </is>
      </c>
      <c r="K153" t="inlineStr"/>
    </row>
    <row r="154">
      <c r="A154" t="n">
        <v>153</v>
      </c>
      <c r="B154" t="inlineStr">
        <is>
          <t>윤하</t>
        </is>
      </c>
      <c r="C154" t="inlineStr">
        <is>
          <t>loyalty</t>
        </is>
      </c>
      <c r="D154" s="2" t="inlineStr">
        <is>
          <t>'End Theory' 리패키지 타이틀곡 'Event Horizon'이 2022년 11월 주요 음원차트에서 퍼펙트 올킬을 달성하고 SBS 인기가요 3주 연속 1위를 기록하며 팬덤의 스트리밍·투표 화력이 지속적으로 뒷받침되었음</t>
        </is>
      </c>
      <c r="E154" t="inlineStr"/>
      <c r="F154" t="inlineStr">
        <is>
          <t>N</t>
        </is>
      </c>
      <c r="G154" t="inlineStr"/>
      <c r="H154" s="6" t="inlineStr"/>
      <c r="I154" t="inlineStr"/>
      <c r="J154" t="inlineStr">
        <is>
          <t>(해당 없음)</t>
        </is>
      </c>
      <c r="K154" t="inlineStr"/>
    </row>
    <row r="155">
      <c r="A155" t="n">
        <v>154</v>
      </c>
      <c r="B155" t="inlineStr">
        <is>
          <t>소녀시대</t>
        </is>
      </c>
      <c r="C155" t="inlineStr">
        <is>
          <t>loyalty</t>
        </is>
      </c>
      <c r="D155" s="2" t="inlineStr">
        <is>
          <t>2015년 한국 가수 최초로 음악방송 통산 100승을 달성했다</t>
        </is>
      </c>
      <c r="E155" t="inlineStr"/>
      <c r="F155" t="inlineStr">
        <is>
          <t>N</t>
        </is>
      </c>
      <c r="G155" t="inlineStr"/>
      <c r="H155" s="6" t="inlineStr"/>
      <c r="I155" t="inlineStr"/>
      <c r="J155" t="inlineStr">
        <is>
          <t>(해당 없음)</t>
        </is>
      </c>
      <c r="K155" t="inlineStr"/>
    </row>
    <row r="156">
      <c r="A156" t="n">
        <v>155</v>
      </c>
      <c r="B156" t="inlineStr">
        <is>
          <t>성시경</t>
        </is>
      </c>
      <c r="C156" t="inlineStr">
        <is>
          <t>spillover</t>
        </is>
      </c>
      <c r="D156" s="2" t="inlineStr">
        <is>
          <t>성시경이 예능 '소라와 진경'에 출연해 '고려청자룩'이라는 패션 혹평을 받은 사연에 대해 직접 입을 열었다.</t>
        </is>
      </c>
      <c r="E156" t="inlineStr"/>
      <c r="F156" t="inlineStr">
        <is>
          <t>N</t>
        </is>
      </c>
      <c r="G156" t="inlineStr"/>
      <c r="H156" s="6" t="inlineStr"/>
      <c r="I156" t="inlineStr"/>
      <c r="J156" t="inlineStr">
        <is>
          <t>(해당 없음)</t>
        </is>
      </c>
      <c r="K156" t="inlineStr"/>
    </row>
    <row r="157">
      <c r="A157" t="n">
        <v>156</v>
      </c>
      <c r="B157" t="inlineStr">
        <is>
          <t>지코</t>
        </is>
      </c>
      <c r="C157" t="inlineStr">
        <is>
          <t>spillover</t>
        </is>
      </c>
      <c r="D157" s="2" t="inlineStr">
        <is>
          <t>제니와 함께한 'SPOT!'(2024)은 iTunes 톱송 차트에서 최소 31개 지역 1위, 한국 내 멜론·벅스·지니 실시간 차트도 발매 수시간 내 석권함</t>
        </is>
      </c>
      <c r="E157" t="inlineStr"/>
      <c r="F157" t="inlineStr">
        <is>
          <t>N</t>
        </is>
      </c>
      <c r="G157" t="inlineStr"/>
      <c r="H157" s="6" t="inlineStr"/>
      <c r="I157" t="inlineStr"/>
      <c r="J157" t="inlineStr">
        <is>
          <t>(해당 없음)</t>
        </is>
      </c>
      <c r="K157" t="inlineStr"/>
    </row>
    <row r="158">
      <c r="A158" t="n">
        <v>157</v>
      </c>
      <c r="B158" t="inlineStr">
        <is>
          <t>엔믹스</t>
        </is>
      </c>
      <c r="C158" t="inlineStr">
        <is>
          <t>spillover</t>
        </is>
      </c>
      <c r="D158" s="2" t="inlineStr">
        <is>
          <t>2026년 2월 16일 브라질 상파울루 카니발에 K팝 그룹 최초로 참여했다.</t>
        </is>
      </c>
      <c r="E158" t="inlineStr"/>
      <c r="F158" t="inlineStr">
        <is>
          <t>N</t>
        </is>
      </c>
      <c r="G158" t="inlineStr"/>
      <c r="H158" s="6" t="inlineStr"/>
      <c r="I158" t="inlineStr"/>
      <c r="J158" t="inlineStr">
        <is>
          <t>(해당 없음)</t>
        </is>
      </c>
      <c r="K158" t="inlineStr"/>
    </row>
    <row r="159">
      <c r="A159" s="7" t="n">
        <v>158</v>
      </c>
      <c r="B159" s="7" t="inlineStr">
        <is>
          <t>LE SSERAFIM</t>
        </is>
      </c>
      <c r="C159" s="7" t="inlineStr">
        <is>
          <t>spillover</t>
        </is>
      </c>
      <c r="D159" s="8" t="inlineStr">
        <is>
          <t>카즈하, 에뛰드(ETUDE) 신규 비주얼 화보 공개를 오리콘 뉴스가 보도</t>
        </is>
      </c>
      <c r="E159" s="7" t="inlineStr"/>
      <c r="F159" s="7" t="inlineStr">
        <is>
          <t>Y</t>
        </is>
      </c>
      <c r="G159" s="7" t="inlineStr">
        <is>
          <t>브랜드 화보 공개(에뛰드) — '화보 촬영'만 사전에 있음</t>
        </is>
      </c>
      <c r="H159" s="7" t="inlineStr"/>
      <c r="I159" s="7" t="inlineStr"/>
      <c r="J159" s="7" t="inlineStr">
        <is>
          <t>(해당 없음)</t>
        </is>
      </c>
      <c r="K159" s="7" t="inlineStr"/>
    </row>
    <row r="160">
      <c r="A160" t="n">
        <v>159</v>
      </c>
      <c r="B160" t="inlineStr">
        <is>
          <t>김재중</t>
        </is>
      </c>
      <c r="C160" t="inlineStr">
        <is>
          <t>loyalty</t>
        </is>
      </c>
      <c r="D160" s="2" t="inlineStr">
        <is>
          <t>김재중은 2019년 강원도 산불 피해 주민들에게 1,000만 원을 기부했다.</t>
        </is>
      </c>
      <c r="E160" t="inlineStr"/>
      <c r="F160" t="inlineStr">
        <is>
          <t>N</t>
        </is>
      </c>
      <c r="G160" t="inlineStr"/>
      <c r="H160" s="6" t="inlineStr"/>
      <c r="I160" t="inlineStr"/>
      <c r="J160" t="inlineStr">
        <is>
          <t>(해당 없음)</t>
        </is>
      </c>
      <c r="K160" t="inlineStr"/>
    </row>
    <row r="161">
      <c r="A161" s="7" t="n">
        <v>160</v>
      </c>
      <c r="B161" s="7" t="inlineStr">
        <is>
          <t>EXO</t>
        </is>
      </c>
      <c r="C161" s="7" t="inlineStr">
        <is>
          <t>spillover</t>
        </is>
      </c>
      <c r="D161" s="8" t="inlineStr">
        <is>
          <t>Served as Samsung brand ambassadors for the 2014 Summer Youth Olympics, MLB Asia ambassadors (March 2018), and Korean Tourism Ambassadors (July 2018)</t>
        </is>
      </c>
      <c r="E161" s="7" t="inlineStr"/>
      <c r="F161" s="7" t="inlineStr">
        <is>
          <t>Y</t>
        </is>
      </c>
      <c r="G161" s="7" t="inlineStr">
        <is>
          <t>brand ambassadors (영문)</t>
        </is>
      </c>
      <c r="H161" s="7" t="inlineStr"/>
      <c r="I161" s="7" t="inlineStr"/>
      <c r="J161" s="7" t="inlineStr">
        <is>
          <t>(해당 없음)</t>
        </is>
      </c>
      <c r="K161" s="7" t="inlineStr"/>
    </row>
    <row r="162">
      <c r="A162" t="n">
        <v>161</v>
      </c>
      <c r="B162" t="inlineStr">
        <is>
          <t>NewJeans</t>
        </is>
      </c>
      <c r="C162" t="inlineStr">
        <is>
          <t>loyalty</t>
        </is>
      </c>
      <c r="D162" s="2" t="inlineStr">
        <is>
          <t>데뷔 EP 'New Jeans'는 발매 당일 26만 2,800장이 판매되며 레이블 선배 그룹의 기존 기록을 넘어섰고, 이후 한국음악콘텐츠협회 밀리언 인증(124만 3,690장)을 받았다.</t>
        </is>
      </c>
      <c r="E162" t="inlineStr"/>
      <c r="F162" t="inlineStr">
        <is>
          <t>N</t>
        </is>
      </c>
      <c r="G162" t="inlineStr"/>
      <c r="H162" s="6" t="inlineStr"/>
      <c r="I162" t="inlineStr"/>
      <c r="J162" t="inlineStr">
        <is>
          <t>(해당 없음)</t>
        </is>
      </c>
      <c r="K162" t="inlineStr"/>
    </row>
    <row r="163">
      <c r="A163" t="n">
        <v>162</v>
      </c>
      <c r="B163" t="inlineStr">
        <is>
          <t>(여자)아이들</t>
        </is>
      </c>
      <c r="C163" t="inlineStr">
        <is>
          <t>spillover</t>
        </is>
      </c>
      <c r="D163" s="2" t="inlineStr">
        <is>
          <t>(여자)아이들 전소연은 2026년 2월 한 인터뷰에서 개인 채널 운영과 앨범 제작 과정에서 겪는 극심한 심리적 부담감을 고백하며 "죽을까 봐 제일 걱정"이라고 말해, 월 10억 원대 저작권 수입으로 화제였던 이후 정신적 스트레스 관리 문제가 재조명됐다.</t>
        </is>
      </c>
      <c r="E163" t="inlineStr"/>
      <c r="F163" t="inlineStr">
        <is>
          <t>N</t>
        </is>
      </c>
      <c r="G163" t="inlineStr"/>
      <c r="H163" s="6" t="inlineStr"/>
      <c r="I163" t="inlineStr"/>
      <c r="J163" t="inlineStr">
        <is>
          <t>(해당 없음)</t>
        </is>
      </c>
      <c r="K163" t="inlineStr"/>
    </row>
    <row r="164">
      <c r="A164" t="n">
        <v>163</v>
      </c>
      <c r="B164" t="inlineStr">
        <is>
          <t>CNBLUE</t>
        </is>
      </c>
      <c r="C164" t="inlineStr">
        <is>
          <t>loyalty</t>
        </is>
      </c>
      <c r="D164" s="2" t="inlineStr">
        <is>
          <t>2012년 2월 일본 발매곡 'Where You Are'가 오리콘 싱글차트 1위에 오르며, 1971년 이후 41년 만에 오리콘 싱글 1위를 차지한 최초의 외국 밴드가 됐다.</t>
        </is>
      </c>
      <c r="E164" t="inlineStr"/>
      <c r="F164" t="inlineStr">
        <is>
          <t>N</t>
        </is>
      </c>
      <c r="G164" t="inlineStr"/>
      <c r="H164" s="6" t="inlineStr"/>
      <c r="I164" t="inlineStr"/>
      <c r="J164" t="inlineStr">
        <is>
          <t>(해당 없음)</t>
        </is>
      </c>
      <c r="K164" t="inlineStr"/>
    </row>
    <row r="165">
      <c r="A165" t="n">
        <v>164</v>
      </c>
      <c r="B165" t="inlineStr">
        <is>
          <t>이효리</t>
        </is>
      </c>
      <c r="C165" t="inlineStr">
        <is>
          <t>loyalty</t>
        </is>
      </c>
      <c r="D165" s="2" t="inlineStr">
        <is>
          <t>이효리는 2011년 팬들과 함께 연탄 배달 봉사 활동을 했다.</t>
        </is>
      </c>
      <c r="E165" t="inlineStr"/>
      <c r="F165" t="inlineStr">
        <is>
          <t>N</t>
        </is>
      </c>
      <c r="G165" t="inlineStr"/>
      <c r="H165" s="6" t="inlineStr"/>
      <c r="I165" t="inlineStr"/>
      <c r="J165" t="inlineStr">
        <is>
          <t>(해당 없음)</t>
        </is>
      </c>
      <c r="K165" t="inlineStr"/>
    </row>
    <row r="166">
      <c r="A166" t="n">
        <v>165</v>
      </c>
      <c r="B166" t="inlineStr">
        <is>
          <t>지코</t>
        </is>
      </c>
      <c r="C166" t="inlineStr">
        <is>
          <t>loyalty</t>
        </is>
      </c>
      <c r="D166" s="2" t="inlineStr">
        <is>
          <t>ZICO 'King of the Zungle Tour in Bangkok' 방콕 단독 콘서트 개최, 모든 스킬을 쏟아낸 무대</t>
        </is>
      </c>
      <c r="E166" t="inlineStr"/>
      <c r="F166" t="inlineStr">
        <is>
          <t>N</t>
        </is>
      </c>
      <c r="G166" t="inlineStr"/>
      <c r="H166" s="6" t="inlineStr"/>
      <c r="I166" t="inlineStr"/>
      <c r="J166" t="inlineStr">
        <is>
          <t>(해당 없음)</t>
        </is>
      </c>
      <c r="K166" t="inlineStr"/>
    </row>
    <row r="167">
      <c r="A167" t="n">
        <v>166</v>
      </c>
      <c r="B167" t="inlineStr">
        <is>
          <t>STAYC</t>
        </is>
      </c>
      <c r="C167" t="inlineStr">
        <is>
          <t>loyalty</t>
        </is>
      </c>
      <c r="D167" s="2" t="inlineStr">
        <is>
          <t>STAYC switched fan club SWITH from seasonal to year-round open registration via Weverse Shop starting June 16, 2025, with new fandom mascot "WITHC".</t>
        </is>
      </c>
      <c r="E167" t="inlineStr"/>
      <c r="F167" t="inlineStr">
        <is>
          <t>N</t>
        </is>
      </c>
      <c r="G167" t="inlineStr"/>
      <c r="H167" s="6" t="inlineStr"/>
      <c r="I167" t="inlineStr"/>
      <c r="J167" t="inlineStr">
        <is>
          <t>(해당 없음)</t>
        </is>
      </c>
      <c r="K167" t="inlineStr"/>
    </row>
    <row r="168">
      <c r="A168" t="n">
        <v>167</v>
      </c>
      <c r="B168" t="inlineStr">
        <is>
          <t>나훈아</t>
        </is>
      </c>
      <c r="C168" t="inlineStr">
        <is>
          <t>spillover</t>
        </is>
      </c>
      <c r="D168" s="2" t="inlineStr">
        <is>
          <t>His national retirement tour ran across Incheon (Apr 2024), Daegu (Dec 7-8), Busan (Dec 14-15), concluding in Seoul (Jan 10-12, 2025) as a marquee media event marking the end of a 59-year career.</t>
        </is>
      </c>
      <c r="E168" t="inlineStr"/>
      <c r="F168" t="inlineStr">
        <is>
          <t>N</t>
        </is>
      </c>
      <c r="G168" t="inlineStr"/>
      <c r="H168" s="6" t="inlineStr"/>
      <c r="I168" t="inlineStr"/>
      <c r="J168" t="inlineStr">
        <is>
          <t>(해당 없음)</t>
        </is>
      </c>
      <c r="K168" t="inlineStr"/>
    </row>
    <row r="169">
      <c r="A169" t="n">
        <v>168</v>
      </c>
      <c r="B169" t="inlineStr">
        <is>
          <t>IKON</t>
        </is>
      </c>
      <c r="C169" t="inlineStr">
        <is>
          <t>loyalty</t>
        </is>
      </c>
      <c r="D169" s="2" t="inlineStr">
        <is>
          <t>As of August 2026, iKON's "FOUREVER WORLD TOUR" had completed 8 cities (Seoul, Macau, Tokyo, Bangkok, Manila, Taipei, Singapore, Kobe); agency 143 Entertainment said the shows drew "enthusiastic responses" from IKONIC fans met across multiple countries</t>
        </is>
      </c>
      <c r="E169" t="inlineStr"/>
      <c r="F169" t="inlineStr">
        <is>
          <t>N</t>
        </is>
      </c>
      <c r="G169" t="inlineStr"/>
      <c r="H169" s="6" t="inlineStr"/>
      <c r="I169" t="inlineStr"/>
      <c r="J169" t="inlineStr">
        <is>
          <t>(해당 없음)</t>
        </is>
      </c>
      <c r="K169" t="inlineStr"/>
    </row>
    <row r="170">
      <c r="A170" t="n">
        <v>169</v>
      </c>
      <c r="B170" t="inlineStr">
        <is>
          <t>송가인</t>
        </is>
      </c>
      <c r="C170" t="inlineStr">
        <is>
          <t>spillover</t>
        </is>
      </c>
      <c r="D170" s="2" t="inlineStr">
        <is>
          <t>스타뉴스가 2026년 8월 23일 보도한 8월 트로트 가수 브랜드평판 빅데이터 순위에서 송가인이 7위에 올랐다.</t>
        </is>
      </c>
      <c r="E170" t="inlineStr"/>
      <c r="F170" t="inlineStr">
        <is>
          <t>N</t>
        </is>
      </c>
      <c r="G170" t="inlineStr"/>
      <c r="H170" s="6" t="inlineStr"/>
      <c r="I170" t="inlineStr"/>
      <c r="J170" t="inlineStr">
        <is>
          <t>(해당 없음)</t>
        </is>
      </c>
      <c r="K170" t="inlineStr"/>
    </row>
    <row r="171">
      <c r="A171" t="n">
        <v>170</v>
      </c>
      <c r="B171" t="inlineStr">
        <is>
          <t>Stray Kids</t>
        </is>
      </c>
      <c r="C171" t="inlineStr">
        <is>
          <t>spillover</t>
        </is>
      </c>
      <c r="D171" s="2" t="inlineStr">
        <is>
          <t>인도네시아 Kompas는 2022년 11월 자카르타 첫 단독 콘서트, 2024년 12월 재방문 콘서트 발표를 각각 별도 기사로 다뤄, Stray Kids의 인도네시아 공연이 반복되는 대형 이벤트 산업으로 자리잡았음을 보여준다</t>
        </is>
      </c>
      <c r="E171" t="inlineStr"/>
      <c r="F171" t="inlineStr">
        <is>
          <t>N</t>
        </is>
      </c>
      <c r="G171" t="inlineStr"/>
      <c r="H171" s="6" t="inlineStr"/>
      <c r="I171" t="inlineStr"/>
      <c r="J171" t="inlineStr">
        <is>
          <t>(해당 없음)</t>
        </is>
      </c>
      <c r="K171" t="inlineStr"/>
    </row>
    <row r="172">
      <c r="A172" t="n">
        <v>171</v>
      </c>
      <c r="B172" t="inlineStr">
        <is>
          <t>권은비</t>
        </is>
      </c>
      <c r="C172" t="inlineStr">
        <is>
          <t>spillover</t>
        </is>
      </c>
      <c r="D172" s="2" t="inlineStr">
        <is>
          <t>스페인 K팝 매체 바나나(BA NA NA)가 권은비가 미니 2집 '컬러(Color)' 타이틀곡 '글리치(Glitch)' 발매 인터뷰에서 불면의 밤을 위로하는 곡 'OFF'에 대해 설명했다고 보도했다.</t>
        </is>
      </c>
      <c r="E172" t="inlineStr"/>
      <c r="F172" t="inlineStr">
        <is>
          <t>N</t>
        </is>
      </c>
      <c r="G172" t="inlineStr"/>
      <c r="H172" s="6" t="inlineStr"/>
      <c r="I172" t="inlineStr"/>
      <c r="J172" t="inlineStr">
        <is>
          <t>(해당 없음)</t>
        </is>
      </c>
      <c r="K172" t="inlineStr"/>
    </row>
    <row r="173">
      <c r="A173" t="n">
        <v>172</v>
      </c>
      <c r="B173" t="inlineStr">
        <is>
          <t>이문세</t>
        </is>
      </c>
      <c r="C173" t="inlineStr">
        <is>
          <t>loyalty</t>
        </is>
      </c>
      <c r="D173" s="2" t="inlineStr">
        <is>
          <t>팬 커뮤니티 '마굿간'을 중심으로 유튜브·인스타그램 등에서 활발히 소통하고 있으며, 2025년 7월 7일부터 MBC FM4U 새 라디오 프로그램을 진행 중이다</t>
        </is>
      </c>
      <c r="E173" t="inlineStr"/>
      <c r="F173" t="inlineStr">
        <is>
          <t>N</t>
        </is>
      </c>
      <c r="G173" t="inlineStr"/>
      <c r="H173" s="6" t="inlineStr"/>
      <c r="I173" t="inlineStr"/>
      <c r="J173" t="inlineStr">
        <is>
          <t>(해당 없음)</t>
        </is>
      </c>
      <c r="K173" t="inlineStr"/>
    </row>
    <row r="174">
      <c r="A174" t="n">
        <v>173</v>
      </c>
      <c r="B174" t="inlineStr">
        <is>
          <t>아이오아이</t>
        </is>
      </c>
      <c r="C174" t="inlineStr">
        <is>
          <t>spillover</t>
        </is>
      </c>
      <c r="D174" s="2" t="inlineStr">
        <is>
          <t>'Very Very Very'는 133만 9,944건의 다운로드를 기록하며 그룹 최초 1위곡이 됐다.</t>
        </is>
      </c>
      <c r="E174" t="inlineStr"/>
      <c r="F174" t="inlineStr">
        <is>
          <t>N</t>
        </is>
      </c>
      <c r="G174" t="inlineStr"/>
      <c r="H174" s="6" t="inlineStr"/>
      <c r="I174" t="inlineStr"/>
      <c r="J174" t="inlineStr">
        <is>
          <t>(해당 없음)</t>
        </is>
      </c>
      <c r="K174" t="inlineStr"/>
    </row>
    <row r="175">
      <c r="A175" t="n">
        <v>174</v>
      </c>
      <c r="B175" t="inlineStr">
        <is>
          <t>BTOB</t>
        </is>
      </c>
      <c r="C175" t="inlineStr">
        <is>
          <t>spillover</t>
        </is>
      </c>
      <c r="D175" s="2" t="inlineStr">
        <is>
          <t>BTOB 육성재는 2015년 5월 27일 방영된 MBC '황금어장 - 라디오스타'에 출연해 비투비 보컬 라인 중 메인급 실력자로 주목받았다.</t>
        </is>
      </c>
      <c r="E175" t="inlineStr"/>
      <c r="F175" t="inlineStr">
        <is>
          <t>N</t>
        </is>
      </c>
      <c r="G175" t="inlineStr"/>
      <c r="H175" s="6" t="inlineStr"/>
      <c r="I175" t="inlineStr"/>
      <c r="J175" t="inlineStr">
        <is>
          <t>(해당 없음)</t>
        </is>
      </c>
      <c r="K175" t="inlineStr"/>
    </row>
    <row r="176">
      <c r="A176" t="n">
        <v>175</v>
      </c>
      <c r="B176" t="inlineStr">
        <is>
          <t>RIIZE</t>
        </is>
      </c>
      <c r="C176" t="inlineStr">
        <is>
          <t>spillover</t>
        </is>
      </c>
      <c r="D176" s="2" t="inlineStr">
        <is>
          <t>RIIZE는 2026년 2월 데뷔 최속 도쿄돔 공연 개최를 오리콘이 보도(제목: "RIIZE、2026年2月に東京ドーム公演開催へ K-POP男性グループとしてデビュー最速")</t>
        </is>
      </c>
      <c r="E176" t="inlineStr"/>
      <c r="F176" t="inlineStr">
        <is>
          <t>N</t>
        </is>
      </c>
      <c r="G176" t="inlineStr"/>
      <c r="H176" s="6" t="inlineStr"/>
      <c r="I176" t="inlineStr"/>
      <c r="J176" t="inlineStr">
        <is>
          <t>(해당 없음)</t>
        </is>
      </c>
      <c r="K176" t="inlineStr"/>
    </row>
    <row r="177">
      <c r="A177" t="n">
        <v>176</v>
      </c>
      <c r="B177" t="inlineStr">
        <is>
          <t>NewJeans</t>
        </is>
      </c>
      <c r="C177" t="inlineStr">
        <is>
          <t>loyalty</t>
        </is>
      </c>
      <c r="D177" s="2" t="inlineStr">
        <is>
          <t>4인 체제로 컴백을 확정했다고 Terra가 보도</t>
        </is>
      </c>
      <c r="E177" t="inlineStr"/>
      <c r="F177" t="inlineStr">
        <is>
          <t>N</t>
        </is>
      </c>
      <c r="G177" t="inlineStr"/>
      <c r="H177" s="6" t="inlineStr"/>
      <c r="I177" t="inlineStr"/>
      <c r="J177" t="inlineStr">
        <is>
          <t>(해당 없음)</t>
        </is>
      </c>
      <c r="K177" t="inlineStr"/>
    </row>
    <row r="178">
      <c r="A178" s="7" t="n">
        <v>177</v>
      </c>
      <c r="B178" s="7" t="inlineStr">
        <is>
          <t>권은비</t>
        </is>
      </c>
      <c r="C178" s="7" t="inlineStr">
        <is>
          <t>spillover</t>
        </is>
      </c>
      <c r="D178" s="8" t="inlineStr">
        <is>
          <t>Korean EP sales: "Color" (Apr 2022) 57,947 copies, "Lethality" (Oct 2022) 46,188 copies; brand endorsements include Sprite, Nine Wishes, Lenstown, and Jadam Chicken</t>
        </is>
      </c>
      <c r="E178" s="7" t="inlineStr"/>
      <c r="F178" s="7" t="inlineStr">
        <is>
          <t>Y</t>
        </is>
      </c>
      <c r="G178" s="7" t="inlineStr">
        <is>
          <t>brand endorsements (영문)</t>
        </is>
      </c>
      <c r="H178" s="7" t="inlineStr"/>
      <c r="I178" s="7" t="inlineStr"/>
      <c r="J178" s="7" t="inlineStr">
        <is>
          <t>(해당 없음)</t>
        </is>
      </c>
      <c r="K178" s="7" t="inlineStr"/>
    </row>
    <row r="179">
      <c r="A179" t="n">
        <v>178</v>
      </c>
      <c r="B179" t="inlineStr">
        <is>
          <t>EXO</t>
        </is>
      </c>
      <c r="C179" t="inlineStr">
        <is>
          <t>loyalty</t>
        </is>
      </c>
      <c r="D179" s="2" t="inlineStr">
        <is>
          <t>EXO-SC(세훈·찬열)가 마닐라 팬콘에서 필리핀 팬들에게 감사 인사를 전함</t>
        </is>
      </c>
      <c r="E179" t="inlineStr"/>
      <c r="F179" t="inlineStr">
        <is>
          <t>N</t>
        </is>
      </c>
      <c r="G179" t="inlineStr"/>
      <c r="H179" s="6" t="inlineStr"/>
      <c r="I179" t="inlineStr"/>
      <c r="J179" t="inlineStr">
        <is>
          <t>(해당 없음)</t>
        </is>
      </c>
      <c r="K179" t="inlineStr"/>
    </row>
    <row r="180">
      <c r="A180" t="n">
        <v>179</v>
      </c>
      <c r="B180" t="inlineStr">
        <is>
          <t>(여자)아이들</t>
        </is>
      </c>
      <c r="C180" t="inlineStr">
        <is>
          <t>spillover</t>
        </is>
      </c>
      <c r="D180" s="2" t="inlineStr">
        <is>
          <t>(여자)아이들은 2019년 8월~10월 Mnet 서바이벌 예능 '컴백전쟁: 퀸덤'에 참가해 3위를 기록했으며, 이때 선보인 '라이언(Lion)' 무대는 '월드클래스'라는 평가를 받으며 이후에도 회자되는 레전드 무대로 꼽힌다.</t>
        </is>
      </c>
      <c r="E180" t="inlineStr"/>
      <c r="F180" t="inlineStr">
        <is>
          <t>N</t>
        </is>
      </c>
      <c r="G180" t="inlineStr"/>
      <c r="H180" s="6" t="inlineStr"/>
      <c r="I180" t="inlineStr"/>
      <c r="J180" t="inlineStr">
        <is>
          <t>(해당 없음)</t>
        </is>
      </c>
      <c r="K180" t="inlineStr"/>
    </row>
    <row r="181">
      <c r="A181" t="n">
        <v>180</v>
      </c>
      <c r="B181" t="inlineStr">
        <is>
          <t>aespa</t>
        </is>
      </c>
      <c r="C181" t="inlineStr">
        <is>
          <t>loyalty</t>
        </is>
      </c>
      <c r="D181" s="2" t="inlineStr">
        <is>
          <t>SM엔터테인먼트 공식 뉴스룸이 에스파의 6월 서울 콘서트가 양일간 시야제한석까지 전석 매진됐다고 발표했다.</t>
        </is>
      </c>
      <c r="E181" t="inlineStr"/>
      <c r="F181" t="inlineStr">
        <is>
          <t>N</t>
        </is>
      </c>
      <c r="G181" t="inlineStr"/>
      <c r="H181" s="6" t="inlineStr"/>
      <c r="I181" t="inlineStr"/>
      <c r="J181" t="inlineStr">
        <is>
          <t>(해당 없음)</t>
        </is>
      </c>
      <c r="K181" t="inlineStr"/>
    </row>
    <row r="182">
      <c r="A182" t="n">
        <v>181</v>
      </c>
      <c r="B182" t="inlineStr">
        <is>
          <t>god</t>
        </is>
      </c>
      <c r="C182" t="inlineStr">
        <is>
          <t>loyalty</t>
        </is>
      </c>
      <c r="D182" s="2" t="inlineStr">
        <is>
          <t>2025년 12월 데뷔 26주년 완전체 콘서트(서울 3회·부산 2회 총 5회)가 전석 매진되어 언론이 "리빙 레전드"라 평가했다</t>
        </is>
      </c>
      <c r="E182" t="inlineStr"/>
      <c r="F182" t="inlineStr">
        <is>
          <t>N</t>
        </is>
      </c>
      <c r="G182" t="inlineStr"/>
      <c r="H182" s="6" t="inlineStr"/>
      <c r="I182" t="inlineStr"/>
      <c r="J182" t="inlineStr">
        <is>
          <t>(해당 없음)</t>
        </is>
      </c>
      <c r="K182" t="inlineStr"/>
    </row>
    <row r="183">
      <c r="A183" t="n">
        <v>182</v>
      </c>
      <c r="B183" t="inlineStr">
        <is>
          <t>이영지</t>
        </is>
      </c>
      <c r="C183" t="inlineStr">
        <is>
          <t>loyalty</t>
        </is>
      </c>
      <c r="D183" s="2" t="inlineStr">
        <is>
          <t>이영지가 9월 타이베이 대중음악센터 단독 공연을 발표했다는 소식을 中時(旺得富理財網, 中國時報 계열)가 보도.</t>
        </is>
      </c>
      <c r="E183" t="inlineStr"/>
      <c r="F183" t="inlineStr">
        <is>
          <t>N</t>
        </is>
      </c>
      <c r="G183" t="inlineStr"/>
      <c r="H183" s="6" t="inlineStr"/>
      <c r="I183" t="inlineStr"/>
      <c r="J183" t="inlineStr">
        <is>
          <t>(해당 없음)</t>
        </is>
      </c>
      <c r="K183" t="inlineStr"/>
    </row>
    <row r="184">
      <c r="A184" t="n">
        <v>183</v>
      </c>
      <c r="B184" t="inlineStr">
        <is>
          <t>린</t>
        </is>
      </c>
      <c r="C184" t="inlineStr">
        <is>
          <t>spillover</t>
        </is>
      </c>
      <c r="D184" s="2" t="inlineStr">
        <is>
          <t>린은 유튜브 채널 '린티비'를 운영하며 브이로그, 공연 비하인드, Q&amp;A 콘텐츠를 정기적으로 업로드하고, 구독자를 '린둥이'라 부른다.</t>
        </is>
      </c>
      <c r="E184" t="inlineStr"/>
      <c r="F184" t="inlineStr">
        <is>
          <t>N</t>
        </is>
      </c>
      <c r="G184" t="inlineStr"/>
      <c r="H184" s="6" t="inlineStr"/>
      <c r="I184" t="inlineStr"/>
      <c r="J184" t="inlineStr">
        <is>
          <t>(해당 없음)</t>
        </is>
      </c>
      <c r="K184" t="inlineStr"/>
    </row>
    <row r="185">
      <c r="A185" t="n">
        <v>184</v>
      </c>
      <c r="B185" t="inlineStr">
        <is>
          <t>DAY6</t>
        </is>
      </c>
      <c r="C185" t="inlineStr">
        <is>
          <t>spillover</t>
        </is>
      </c>
      <c r="D185" s="2" t="inlineStr">
        <is>
          <t>DAY6 멤버 원필은 드라마 '선녀외전' OST에 '시간의 잔상'을 불러 참여했으며 해당 스페셜 클립이 공식 유튜브에 공개됐다.</t>
        </is>
      </c>
      <c r="E185" t="inlineStr"/>
      <c r="F185" t="inlineStr">
        <is>
          <t>N</t>
        </is>
      </c>
      <c r="G185" t="inlineStr"/>
      <c r="H185" s="6" t="inlineStr"/>
      <c r="I185" t="inlineStr"/>
      <c r="J185" t="inlineStr">
        <is>
          <t>(해당 없음)</t>
        </is>
      </c>
      <c r="K185" t="inlineStr"/>
    </row>
    <row r="186">
      <c r="A186" t="n">
        <v>185</v>
      </c>
      <c r="B186" t="inlineStr">
        <is>
          <t>엄정화</t>
        </is>
      </c>
      <c r="C186" t="inlineStr">
        <is>
          <t>spillover</t>
        </is>
      </c>
      <c r="D186" s="2" t="inlineStr">
        <is>
          <t>영화 '결혼은 미친 짓이다'(2002), '싱글즈'(2003), '오로라 공주'(2005), '인사동 스캔들'(2009) 등 다수 주연</t>
        </is>
      </c>
      <c r="E186" t="inlineStr"/>
      <c r="F186" t="inlineStr">
        <is>
          <t>N</t>
        </is>
      </c>
      <c r="G186" t="inlineStr"/>
      <c r="H186" s="6" t="inlineStr"/>
      <c r="I186" t="inlineStr"/>
      <c r="J186" t="inlineStr">
        <is>
          <t>(해당 없음)</t>
        </is>
      </c>
      <c r="K186" t="inlineStr"/>
    </row>
    <row r="187">
      <c r="A187" t="n">
        <v>186</v>
      </c>
      <c r="B187" t="inlineStr">
        <is>
          <t>브라운아이즈</t>
        </is>
      </c>
      <c r="C187" t="inlineStr">
        <is>
          <t>spillover</t>
        </is>
      </c>
      <c r="D187" s="2" t="inlineStr">
        <is>
          <t>영어판 위키백과는 나얼이 속한 브라운 아이드 소울이 데뷔 싱글로 KBS 가요 순위 프로그램에서 1위를 기록했고 2008년 한국대중음악상 R&amp;B&amp;소울 부문상을 수상했다고 소개한다.</t>
        </is>
      </c>
      <c r="E187" t="inlineStr"/>
      <c r="F187" t="inlineStr">
        <is>
          <t>N</t>
        </is>
      </c>
      <c r="G187" t="inlineStr"/>
      <c r="H187" s="6" t="inlineStr"/>
      <c r="I187" t="inlineStr"/>
      <c r="J187" t="inlineStr">
        <is>
          <t>(해당 없음)</t>
        </is>
      </c>
      <c r="K187" t="inlineStr"/>
    </row>
    <row r="188">
      <c r="A188" t="n">
        <v>187</v>
      </c>
      <c r="B188" t="inlineStr">
        <is>
          <t>다비치</t>
        </is>
      </c>
      <c r="C188" t="inlineStr">
        <is>
          <t>spillover</t>
        </is>
      </c>
      <c r="D188" s="2" t="inlineStr">
        <is>
          <t>2008년 MAMA, 골든디스크 어워즈, 서울가요대상에서 동시에 '올해의 신인상'을 수상했다</t>
        </is>
      </c>
      <c r="E188" t="inlineStr"/>
      <c r="F188" t="inlineStr">
        <is>
          <t>N</t>
        </is>
      </c>
      <c r="G188" t="inlineStr"/>
      <c r="H188" s="6" t="inlineStr"/>
      <c r="I188" t="inlineStr"/>
      <c r="J188" t="inlineStr">
        <is>
          <t>(해당 없음)</t>
        </is>
      </c>
      <c r="K188" t="inlineStr"/>
    </row>
    <row r="189">
      <c r="A189" t="n">
        <v>188</v>
      </c>
      <c r="B189" t="inlineStr">
        <is>
          <t>오마이걸</t>
        </is>
      </c>
      <c r="C189" t="inlineStr">
        <is>
          <t>loyalty</t>
        </is>
      </c>
      <c r="D189" s="2" t="inlineStr">
        <is>
          <t>인도네시아 매체 detikcom은 같은 무대를 다룬 후속 기사에서 오마이걸이 자카르타 공연에서 "논스톱으로 분위기를 즐겁게 만들었다"고 전했다</t>
        </is>
      </c>
      <c r="E189" t="inlineStr"/>
      <c r="F189" t="inlineStr">
        <is>
          <t>N</t>
        </is>
      </c>
      <c r="G189" t="inlineStr"/>
      <c r="H189" s="6" t="inlineStr"/>
      <c r="I189" t="inlineStr"/>
      <c r="J189" t="inlineStr">
        <is>
          <t>(해당 없음)</t>
        </is>
      </c>
      <c r="K189" t="inlineStr"/>
    </row>
    <row r="190">
      <c r="A190" t="n">
        <v>189</v>
      </c>
      <c r="B190" t="inlineStr">
        <is>
          <t>IVE</t>
        </is>
      </c>
      <c r="C190" t="inlineStr">
        <is>
          <t>spillover</t>
        </is>
      </c>
      <c r="D190" s="2" t="inlineStr">
        <is>
          <t>Loạt ảnh Jang Won Young tham dự sự kiện tại Việt Nam nhanh chóng gây bão mạng, nhận về lượng tương tác cực khủng.</t>
        </is>
      </c>
      <c r="E190" t="inlineStr"/>
      <c r="F190" t="inlineStr">
        <is>
          <t>N</t>
        </is>
      </c>
      <c r="G190" t="inlineStr"/>
      <c r="H190" s="6" t="inlineStr"/>
      <c r="I190" t="inlineStr"/>
      <c r="J190" t="inlineStr">
        <is>
          <t>(해당 없음)</t>
        </is>
      </c>
      <c r="K190" t="inlineStr"/>
    </row>
    <row r="191">
      <c r="A191" t="n">
        <v>190</v>
      </c>
      <c r="B191" t="inlineStr">
        <is>
          <t>악동뮤지션</t>
        </is>
      </c>
      <c r="C191" t="inlineStr">
        <is>
          <t>loyalty</t>
        </is>
      </c>
      <c r="D191" s="2" t="inlineStr">
        <is>
          <t>데뷔 10주년을 맞아 2024년 3월 처음으로 공식 팬덤명 '악카데미(AKKADEMY)'를 발표하고 위버스 멤버십을 통해 가입을 받기 시작했다.</t>
        </is>
      </c>
      <c r="E191" t="inlineStr"/>
      <c r="F191" t="inlineStr">
        <is>
          <t>N</t>
        </is>
      </c>
      <c r="G191" t="inlineStr"/>
      <c r="H191" s="6" t="inlineStr"/>
      <c r="I191" t="inlineStr"/>
      <c r="J191" t="inlineStr">
        <is>
          <t>(해당 없음)</t>
        </is>
      </c>
      <c r="K191" t="inlineStr"/>
    </row>
    <row r="192">
      <c r="A192" s="7" t="n">
        <v>191</v>
      </c>
      <c r="B192" s="7" t="inlineStr">
        <is>
          <t>ITZY</t>
        </is>
      </c>
      <c r="C192" s="7" t="inlineStr">
        <is>
          <t>spillover</t>
        </is>
      </c>
      <c r="D192" s="8" t="inlineStr">
        <is>
          <t>Brand endorsements include Kia Motors, Lotte Duty Free, MAC Cosmetics, Maybelline New York (first Korean artists as its global spokesmodels), G-Shock, Line Friends, Pokémon, Adidas, H&amp;M, Bench, and Charles &amp; Keith</t>
        </is>
      </c>
      <c r="E192" s="7" t="inlineStr"/>
      <c r="F192" s="7" t="inlineStr">
        <is>
          <t>Y</t>
        </is>
      </c>
      <c r="G192" s="7" t="inlineStr">
        <is>
          <t>brand endorsements / global spokesmodels (영문)</t>
        </is>
      </c>
      <c r="H192" s="7" t="inlineStr"/>
      <c r="I192" s="7" t="inlineStr"/>
      <c r="J192" s="7" t="inlineStr">
        <is>
          <t>(해당 없음)</t>
        </is>
      </c>
      <c r="K192" s="7" t="inlineStr"/>
    </row>
    <row r="193">
      <c r="A193" t="n">
        <v>192</v>
      </c>
      <c r="B193" t="inlineStr">
        <is>
          <t>aespa</t>
        </is>
      </c>
      <c r="C193" t="inlineStr">
        <is>
          <t>spillover</t>
        </is>
      </c>
      <c r="D193" s="2" t="inlineStr">
        <is>
          <t>aespa는 2026년 7월 30일 니혼TV(닛폰 테레비) 아침 정보 예능 'DayDay.'에 전원 출연했다.</t>
        </is>
      </c>
      <c r="E193" t="inlineStr"/>
      <c r="F193" t="inlineStr">
        <is>
          <t>N</t>
        </is>
      </c>
      <c r="G193" t="inlineStr"/>
      <c r="H193" s="6" t="inlineStr"/>
      <c r="I193" t="inlineStr"/>
      <c r="J193" t="inlineStr">
        <is>
          <t>(해당 없음)</t>
        </is>
      </c>
      <c r="K193" t="inlineStr"/>
    </row>
    <row r="194">
      <c r="A194" t="n">
        <v>193</v>
      </c>
      <c r="B194" t="inlineStr">
        <is>
          <t>영탁</t>
        </is>
      </c>
      <c r="C194" t="inlineStr">
        <is>
          <t>loyalty</t>
        </is>
      </c>
      <c r="D194" s="2" t="inlineStr">
        <is>
          <t>2025년 3월 데뷔 20주년을 맞아 첫 단독 팬콘서트를 개최했다.</t>
        </is>
      </c>
      <c r="E194" t="inlineStr"/>
      <c r="F194" t="inlineStr">
        <is>
          <t>N</t>
        </is>
      </c>
      <c r="G194" t="inlineStr"/>
      <c r="H194" s="6" t="inlineStr"/>
      <c r="I194" t="inlineStr"/>
      <c r="J194" t="inlineStr">
        <is>
          <t>(해당 없음)</t>
        </is>
      </c>
      <c r="K194" t="inlineStr"/>
    </row>
    <row r="195">
      <c r="A195" t="n">
        <v>194</v>
      </c>
      <c r="B195" t="inlineStr">
        <is>
          <t>볼빨간사춘기</t>
        </is>
      </c>
      <c r="C195" t="inlineStr">
        <is>
          <t>spillover</t>
        </is>
      </c>
      <c r="D195" s="2" t="inlineStr">
        <is>
          <t>대만 티켓 플랫폼 KKTIX에 따르면 볼빨간사춘기는 2025년 1월 25일 국립대만대학교 종합체육관에서 '2025 BOL4 Asia Tour &lt;Bloom&gt;' 타이베이 공연을 열었다.</t>
        </is>
      </c>
      <c r="E195" t="inlineStr"/>
      <c r="F195" t="inlineStr">
        <is>
          <t>N</t>
        </is>
      </c>
      <c r="G195" t="inlineStr"/>
      <c r="H195" s="6" t="inlineStr"/>
      <c r="I195" t="inlineStr"/>
      <c r="J195" t="inlineStr">
        <is>
          <t>(해당 없음)</t>
        </is>
      </c>
      <c r="K195" t="inlineStr"/>
    </row>
    <row r="196">
      <c r="A196" t="n">
        <v>195</v>
      </c>
      <c r="B196" t="inlineStr">
        <is>
          <t>소녀시대</t>
        </is>
      </c>
      <c r="C196" t="inlineStr">
        <is>
          <t>spillover</t>
        </is>
      </c>
      <c r="D196" s="2" t="inlineStr">
        <is>
          <t>소녀시대가 2012년 7월 12일 전남 여수세계박람회(여수엑스포)장에서 열린 '엑스포 팝 페스티벌' 무대에 출연해 약 40미터 돌출형 슬라이딩 무대에서 공연했다.</t>
        </is>
      </c>
      <c r="E196" t="inlineStr"/>
      <c r="F196" t="inlineStr">
        <is>
          <t>N</t>
        </is>
      </c>
      <c r="G196" t="inlineStr"/>
      <c r="H196" s="6" t="inlineStr"/>
      <c r="I196" t="inlineStr"/>
      <c r="J196" t="inlineStr">
        <is>
          <t>(해당 없음)</t>
        </is>
      </c>
      <c r="K196" t="inlineStr"/>
    </row>
    <row r="197">
      <c r="A197" t="n">
        <v>196</v>
      </c>
      <c r="B197" t="inlineStr">
        <is>
          <t>장윤정</t>
        </is>
      </c>
      <c r="C197" t="inlineStr">
        <is>
          <t>spillover</t>
        </is>
      </c>
      <c r="D197" s="2" t="inlineStr">
        <is>
          <t>At peak activity, toured roughly 100,000 km nationally per year for regional events, at times appearing at up to 12 events in a single day.</t>
        </is>
      </c>
      <c r="E197" t="inlineStr"/>
      <c r="F197" t="inlineStr">
        <is>
          <t>N</t>
        </is>
      </c>
      <c r="G197" t="inlineStr"/>
      <c r="H197" s="6" t="inlineStr"/>
      <c r="I197" t="inlineStr"/>
      <c r="J197" t="inlineStr">
        <is>
          <t>(해당 없음)</t>
        </is>
      </c>
      <c r="K197" t="inlineStr"/>
    </row>
    <row r="198">
      <c r="A198" t="n">
        <v>197</v>
      </c>
      <c r="B198" t="inlineStr">
        <is>
          <t>BTS</t>
        </is>
      </c>
      <c r="C198" t="inlineStr">
        <is>
          <t>loyalty</t>
        </is>
      </c>
      <c r="D198" s="2" t="inlineStr">
        <is>
          <t>BTS 멤버들이 2020년 6월 흑인인권 운동(BLM)에 100만 달러를 기부하자 아미도 24시간 만에 매칭 기부로 100만 달러를 모아 화제가 됐다.</t>
        </is>
      </c>
      <c r="E198" t="inlineStr"/>
      <c r="F198" t="inlineStr">
        <is>
          <t>N</t>
        </is>
      </c>
      <c r="G198" t="inlineStr"/>
      <c r="H198" s="6" t="inlineStr"/>
      <c r="I198" t="inlineStr"/>
      <c r="J198" t="inlineStr">
        <is>
          <t>(해당 없음)</t>
        </is>
      </c>
      <c r="K198" t="inlineStr"/>
    </row>
    <row r="199">
      <c r="A199" t="n">
        <v>198</v>
      </c>
      <c r="B199" t="inlineStr">
        <is>
          <t>엄정화</t>
        </is>
      </c>
      <c r="C199" t="inlineStr">
        <is>
          <t>loyalty</t>
        </is>
      </c>
      <c r="D199" s="2" t="inlineStr">
        <is>
          <t>1998년 발매한 앨범 '초대'가 국내 45만 8,147장 판매를 기록했다</t>
        </is>
      </c>
      <c r="E199" t="inlineStr"/>
      <c r="F199" t="inlineStr">
        <is>
          <t>N</t>
        </is>
      </c>
      <c r="G199" t="inlineStr"/>
      <c r="H199" s="6" t="inlineStr"/>
      <c r="I199" t="inlineStr"/>
      <c r="J199" t="inlineStr">
        <is>
          <t>(해당 없음)</t>
        </is>
      </c>
      <c r="K199" t="inlineStr"/>
    </row>
    <row r="200">
      <c r="A200" t="n">
        <v>199</v>
      </c>
      <c r="B200" t="inlineStr">
        <is>
          <t>소녀시대</t>
        </is>
      </c>
      <c r="C200" t="inlineStr">
        <is>
          <t>spillover</t>
        </is>
      </c>
      <c r="D200" s="2" t="inlineStr">
        <is>
          <t>소녀시대 윤아가 2025년 하반기~2026년 초 드라마 '폭군의 셰프'와 영화 '악마가 이사왔다'로 다수의 연기 시상식을 휩쓸었다. 10주년 아시아 아티스트 어워즈(AAA)에서 TV 부문 올해의 여우주연상 대상과 베스트아티스트상·아시아스타상을 받았고, 제29회 춘사국제영화제 여우주연상, 제46회 청룡영화상 청정원 인기스타상, KCA 문화연예 시상식 올해의 배우상(영화 부문) 등을 수상했다.</t>
        </is>
      </c>
      <c r="E200" t="inlineStr"/>
      <c r="F200" t="inlineStr">
        <is>
          <t>N</t>
        </is>
      </c>
      <c r="G200" t="inlineStr"/>
      <c r="H200" s="6" t="inlineStr"/>
      <c r="I200" t="inlineStr"/>
      <c r="J200" t="inlineStr">
        <is>
          <t>(해당 없음)</t>
        </is>
      </c>
      <c r="K200" t="inlineStr"/>
    </row>
    <row r="201">
      <c r="A201" t="n">
        <v>200</v>
      </c>
      <c r="B201" t="inlineStr">
        <is>
          <t>투어스(TWS)</t>
        </is>
      </c>
      <c r="C201" t="inlineStr">
        <is>
          <t>loyalty</t>
        </is>
      </c>
      <c r="D201" s="2" t="inlineStr">
        <is>
          <t>According to Korean wiki namu.wiki, '42' is noted as the first K-pop idol fandom name composed entirely of numerals, reflecting PLEDIS/TWS's numeric '24/7' branding concept — a lower-confidence, community-sourced claim included with that caveat.</t>
        </is>
      </c>
      <c r="E201" t="inlineStr"/>
      <c r="F201" t="inlineStr">
        <is>
          <t>N</t>
        </is>
      </c>
      <c r="G201" t="inlineStr"/>
      <c r="H201" s="6" t="inlineStr"/>
      <c r="I201" t="inlineStr"/>
      <c r="J201" t="inlineStr">
        <is>
          <t>(해당 없음)</t>
        </is>
      </c>
      <c r="K201" t="inlineStr"/>
    </row>
  </sheetData>
  <autoFilter ref="A1:K201"/>
  <dataValidations count="1">
    <dataValidation sqref="H2:H201" showDropDown="0" showInputMessage="0" showErrorMessage="0" allowBlank="1" type="list">
      <formula1>"A 누락·사전추가,B 누락·사전제외,C 경계·정의결정,D 아님,E 보류"</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88" customWidth="1" min="4" max="4"/>
    <col width="18" customWidth="1" min="5" max="5"/>
    <col width="12" customWidth="1" min="6" max="6"/>
    <col width="38" customWidth="1" min="7" max="7"/>
    <col width="20" customWidth="1" min="8" max="8"/>
    <col width="30" customWidth="1" min="9" max="9"/>
    <col width="30" customWidth="1" min="10" max="10"/>
    <col width="28" customWidth="1" min="11" max="11"/>
  </cols>
  <sheetData>
    <row r="1">
      <c r="A1" s="4" t="inlineStr">
        <is>
          <t>번호</t>
        </is>
      </c>
      <c r="B1" s="4" t="inlineStr">
        <is>
          <t>팬덤</t>
        </is>
      </c>
      <c r="C1" s="4" t="inlineStr">
        <is>
          <t>유형</t>
        </is>
      </c>
      <c r="D1" s="4" t="inlineStr">
        <is>
          <t>문장</t>
        </is>
      </c>
      <c r="E1" s="4" t="inlineStr">
        <is>
          <t>힌트어(사전 밖 유사 표현)</t>
        </is>
      </c>
      <c r="F1" s="4" t="inlineStr">
        <is>
          <t>모델 판독(Y/N)</t>
        </is>
      </c>
      <c r="G1" s="4" t="inlineStr">
        <is>
          <t>판독 사유</t>
        </is>
      </c>
      <c r="H1" s="4" t="inlineStr">
        <is>
          <t>저자 판정(A∼E)</t>
        </is>
      </c>
      <c r="I1" s="4" t="inlineStr">
        <is>
          <t>추가할 표현(A일 때, 문장에 나온 말 그대로)</t>
        </is>
      </c>
      <c r="J1" s="4" t="inlineStr">
        <is>
          <t>집계 대상(A일 때: 지역=시·도, 미디어=서브태그)</t>
        </is>
      </c>
      <c r="K1" s="4" t="inlineStr">
        <is>
          <t>메모</t>
        </is>
      </c>
    </row>
    <row r="2">
      <c r="A2" t="n">
        <v>1</v>
      </c>
      <c r="B2" t="inlineStr">
        <is>
          <t>엔믹스</t>
        </is>
      </c>
      <c r="C2" t="inlineStr">
        <is>
          <t>spillover</t>
        </is>
      </c>
      <c r="D2" s="2" t="inlineStr">
        <is>
          <t>인도네시아 매체 디틱과 IDN Times는 엔믹스가 K팝 그룹 최초로 브라질 카니발 무대('Bloco Da Pabllo' 2026)에 올라 "기록을 세웠다(cetak rekor)"고 보도했다 - 팬덤 밖 남미 대중문화 시장까지 화제성이 확산된 사례다</t>
        </is>
      </c>
      <c r="E2" t="inlineStr"/>
      <c r="F2" t="inlineStr">
        <is>
          <t>N</t>
        </is>
      </c>
      <c r="G2" t="inlineStr"/>
      <c r="H2" s="6" t="inlineStr"/>
      <c r="I2" t="inlineStr"/>
      <c r="J2" t="inlineStr"/>
      <c r="K2" t="inlineStr"/>
    </row>
    <row r="3">
      <c r="A3" t="n">
        <v>2</v>
      </c>
      <c r="B3" t="inlineStr">
        <is>
          <t>이영지</t>
        </is>
      </c>
      <c r="C3" t="inlineStr">
        <is>
          <t>loyalty</t>
        </is>
      </c>
      <c r="D3" s="2" t="inlineStr">
        <is>
          <t>월드투어 공식 굿즈(MD)를 현장 티켓 확인 절차까지 두고 사전 판매할 만큼 팬 구매 수요가 크다.</t>
        </is>
      </c>
      <c r="E3" t="inlineStr"/>
      <c r="F3" t="inlineStr">
        <is>
          <t>N</t>
        </is>
      </c>
      <c r="G3" t="inlineStr"/>
      <c r="H3" s="6" t="inlineStr"/>
      <c r="I3" t="inlineStr"/>
      <c r="J3" t="inlineStr"/>
      <c r="K3" t="inlineStr"/>
    </row>
    <row r="4">
      <c r="A4" t="n">
        <v>3</v>
      </c>
      <c r="B4" t="inlineStr">
        <is>
          <t>임영웅</t>
        </is>
      </c>
      <c r="C4" t="inlineStr">
        <is>
          <t>loyalty</t>
        </is>
      </c>
      <c r="D4" s="2" t="inlineStr">
        <is>
          <t>Fan club 영웅시대 donated 200 million won (2억원) to Korea University Medical Center (Anam/Guro/Ansan hospitals) in Lim Young-woong's name on his birthday, supporting low-income patients; his own cumulative donations across causes total 2.5 billion won</t>
        </is>
      </c>
      <c r="E4" t="inlineStr"/>
      <c r="F4" t="inlineStr">
        <is>
          <t>N</t>
        </is>
      </c>
      <c r="G4" t="inlineStr"/>
      <c r="H4" s="6" t="inlineStr"/>
      <c r="I4" t="inlineStr"/>
      <c r="J4" t="inlineStr"/>
      <c r="K4" t="inlineStr"/>
    </row>
    <row r="5">
      <c r="A5" t="n">
        <v>4</v>
      </c>
      <c r="B5" t="inlineStr">
        <is>
          <t>마마무</t>
        </is>
      </c>
      <c r="C5" t="inlineStr">
        <is>
          <t>spillover</t>
        </is>
      </c>
      <c r="D5" s="2" t="inlineStr">
        <is>
          <t>칠레 매체 라콰르타(La Cuarta)는 마마무가 2014년 데뷔 이후 재즈·소울·R&amp;B를 접목한 음악과 자체 작사·작곡 활동으로 K팝에서 여성 서사를 대표하는 그룹으로 자리매김했다고 보도했다.</t>
        </is>
      </c>
      <c r="E5" t="inlineStr"/>
      <c r="F5" t="inlineStr">
        <is>
          <t>N</t>
        </is>
      </c>
      <c r="G5" t="inlineStr"/>
      <c r="H5" s="6" t="inlineStr"/>
      <c r="I5" t="inlineStr"/>
      <c r="J5" t="inlineStr"/>
      <c r="K5" t="inlineStr"/>
    </row>
    <row r="6">
      <c r="A6" t="n">
        <v>5</v>
      </c>
      <c r="B6" t="inlineStr">
        <is>
          <t>샤이니</t>
        </is>
      </c>
      <c r="C6" t="inlineStr">
        <is>
          <t>spillover</t>
        </is>
      </c>
      <c r="D6" s="2" t="inlineStr">
        <is>
          <t>6년 만의 도쿄돔 공연에서 진주빛 아쿠아그린 응원봉으로 물든 회장이 환호로 가득 찼다고 일본 매체가 보도: "見渡す限り、グループカラーであるパールアクアグリーン色のペンライトで染められた幻想的な東京ドーム"</t>
        </is>
      </c>
      <c r="E6" t="inlineStr"/>
      <c r="F6" t="inlineStr">
        <is>
          <t>N</t>
        </is>
      </c>
      <c r="G6" t="inlineStr"/>
      <c r="H6" s="6" t="inlineStr"/>
      <c r="I6" t="inlineStr"/>
      <c r="J6" t="inlineStr"/>
      <c r="K6" t="inlineStr"/>
    </row>
    <row r="7">
      <c r="A7" t="n">
        <v>6</v>
      </c>
      <c r="B7" t="inlineStr">
        <is>
          <t>EXO</t>
        </is>
      </c>
      <c r="C7" t="inlineStr">
        <is>
          <t>loyalty</t>
        </is>
      </c>
      <c r="D7" s="2" t="inlineStr">
        <is>
          <t>2014년 5월 24일 'Lost Planet' 콘서트 티켓이 1.47초 만에 매진됐다.</t>
        </is>
      </c>
      <c r="E7" t="inlineStr"/>
      <c r="F7" t="inlineStr">
        <is>
          <t>N</t>
        </is>
      </c>
      <c r="G7" t="inlineStr"/>
      <c r="H7" s="6" t="inlineStr"/>
      <c r="I7" t="inlineStr"/>
      <c r="J7" t="inlineStr"/>
      <c r="K7" t="inlineStr"/>
    </row>
    <row r="8">
      <c r="A8" t="n">
        <v>7</v>
      </c>
      <c r="B8" t="inlineStr">
        <is>
          <t>여자친구</t>
        </is>
      </c>
      <c r="C8" t="inlineStr">
        <is>
          <t>loyalty</t>
        </is>
      </c>
      <c r="D8" s="2" t="inlineStr">
        <is>
          <t>Natalie (natalie.mu), Japan's major music/culture news site, covered the release of GFriend's second Japanese photobook "CHOICE," a fan-merchandise item aimed at the group's dedicated Japanese fanbase.</t>
        </is>
      </c>
      <c r="E8" t="inlineStr"/>
      <c r="F8" t="inlineStr">
        <is>
          <t>N</t>
        </is>
      </c>
      <c r="G8" t="inlineStr"/>
      <c r="H8" s="6" t="inlineStr"/>
      <c r="I8" t="inlineStr"/>
      <c r="J8" t="inlineStr"/>
      <c r="K8" t="inlineStr"/>
    </row>
    <row r="9">
      <c r="A9" t="n">
        <v>8</v>
      </c>
      <c r="B9" t="inlineStr">
        <is>
          <t>영탁</t>
        </is>
      </c>
      <c r="C9" t="inlineStr">
        <is>
          <t>loyalty</t>
        </is>
      </c>
      <c r="D9" s="2" t="inlineStr">
        <is>
          <t>For his 20th debut anniversary, fan club YOUNGTAK &amp; BLUES donated ₩68.35 million to UNICEF Korea.</t>
        </is>
      </c>
      <c r="E9" t="inlineStr"/>
      <c r="F9" t="inlineStr">
        <is>
          <t>N</t>
        </is>
      </c>
      <c r="G9" t="inlineStr"/>
      <c r="H9" s="6" t="inlineStr"/>
      <c r="I9" t="inlineStr"/>
      <c r="J9" t="inlineStr"/>
      <c r="K9" t="inlineStr"/>
    </row>
    <row r="10">
      <c r="A10" t="n">
        <v>9</v>
      </c>
      <c r="B10" t="inlineStr">
        <is>
          <t>LE SSERAFIM</t>
        </is>
      </c>
      <c r="C10" t="inlineStr">
        <is>
          <t>loyalty</t>
        </is>
      </c>
      <c r="D10" s="2" t="inlineStr">
        <is>
          <t>2026년 5월 데뷔 4주년을 맞아 전 세계 공식 팬덤 '피어나(FEARNOT)'와 함께 'CELEBRATION' 기념 활동을 진행했다는 보도</t>
        </is>
      </c>
      <c r="E10" t="inlineStr"/>
      <c r="F10" t="inlineStr">
        <is>
          <t>N</t>
        </is>
      </c>
      <c r="G10" t="inlineStr"/>
      <c r="H10" s="6" t="inlineStr"/>
      <c r="I10" t="inlineStr"/>
      <c r="J10" t="inlineStr"/>
      <c r="K10" t="inlineStr"/>
    </row>
    <row r="11">
      <c r="A11" t="n">
        <v>10</v>
      </c>
      <c r="B11" t="inlineStr">
        <is>
          <t>거미</t>
        </is>
      </c>
      <c r="C11" t="inlineStr">
        <is>
          <t>loyalty</t>
        </is>
      </c>
      <c r="D11" s="2" t="inlineStr">
        <is>
          <t>데뷔 20년이 지난 시점에도 히트곡들이 노래방 인기차트에 꾸준히 오르는 등 장기적인 대중적 스트리밍/소비력을 유지하고 있다.</t>
        </is>
      </c>
      <c r="E11" t="inlineStr"/>
      <c r="F11" t="inlineStr">
        <is>
          <t>N</t>
        </is>
      </c>
      <c r="G11" t="inlineStr"/>
      <c r="H11" s="6" t="inlineStr"/>
      <c r="I11" t="inlineStr"/>
      <c r="J11" t="inlineStr"/>
      <c r="K11" t="inlineStr"/>
    </row>
    <row r="12">
      <c r="A12" t="n">
        <v>11</v>
      </c>
      <c r="B12" t="inlineStr">
        <is>
          <t>투어스(TWS)</t>
        </is>
      </c>
      <c r="C12" t="inlineStr">
        <is>
          <t>spillover</t>
        </is>
      </c>
      <c r="D12" s="2" t="inlineStr">
        <is>
          <t>Kapanlagi.com confirmed no Indonesian city appears on TWS's official 2026 Asia tour schedule, describing Jakarta as 'passed' and noting local fan disappointment.</t>
        </is>
      </c>
      <c r="E12" t="inlineStr"/>
      <c r="F12" t="inlineStr">
        <is>
          <t>N</t>
        </is>
      </c>
      <c r="G12" t="inlineStr"/>
      <c r="H12" s="6" t="inlineStr"/>
      <c r="I12" t="inlineStr"/>
      <c r="J12" t="inlineStr"/>
      <c r="K12" t="inlineStr"/>
    </row>
    <row r="13">
      <c r="A13" t="n">
        <v>12</v>
      </c>
      <c r="B13" t="inlineStr">
        <is>
          <t>나훈아</t>
        </is>
      </c>
      <c r="C13" t="inlineStr">
        <is>
          <t>spillover</t>
        </is>
      </c>
      <c r="D13" s="2" t="inlineStr">
        <is>
          <t>2025.1 전국투어 은퇴 콘서트 '고마웠습니다' 최종 마무리, 58년 가수 인생에 마침표</t>
        </is>
      </c>
      <c r="E13" t="inlineStr"/>
      <c r="F13" t="inlineStr">
        <is>
          <t>N</t>
        </is>
      </c>
      <c r="G13" t="inlineStr"/>
      <c r="H13" s="6" t="inlineStr"/>
      <c r="I13" t="inlineStr"/>
      <c r="J13" t="inlineStr"/>
      <c r="K13" t="inlineStr"/>
    </row>
    <row r="14">
      <c r="A14" t="n">
        <v>13</v>
      </c>
      <c r="B14" t="inlineStr">
        <is>
          <t>최예나</t>
        </is>
      </c>
      <c r="C14" t="inlineStr">
        <is>
          <t>loyalty</t>
        </is>
      </c>
      <c r="D14" s="2" t="inlineStr">
        <is>
          <t>최예나는 2024년 팬콘서트 'SUPER YENA'부터 2026년 라이브투어 '잡힐 듯 말 듯 한, 2세계!'까지 꾸준히 단독 공연을 이어가며 팬덤과의 접점을 확대하고 있다</t>
        </is>
      </c>
      <c r="E14" t="inlineStr"/>
      <c r="F14" t="inlineStr">
        <is>
          <t>N</t>
        </is>
      </c>
      <c r="G14" t="inlineStr"/>
      <c r="H14" s="6" t="inlineStr"/>
      <c r="I14" t="inlineStr"/>
      <c r="J14" t="inlineStr"/>
      <c r="K14" t="inlineStr"/>
    </row>
    <row r="15">
      <c r="A15" s="7" t="n">
        <v>14</v>
      </c>
      <c r="B15" s="7" t="inlineStr">
        <is>
          <t>지코</t>
        </is>
      </c>
      <c r="C15" s="7" t="inlineStr">
        <is>
          <t>spillover</t>
        </is>
      </c>
      <c r="D15" s="8" t="inlineStr">
        <is>
          <t>'쇼미더머니' 시리즈 4·6·12편 등 여러 시즌에 프로듀서로 참여하며 힙합 신 전반에 영향력을 확장했다.</t>
        </is>
      </c>
      <c r="E15" s="7" t="inlineStr"/>
      <c r="F15" s="7" t="inlineStr">
        <is>
          <t>Y</t>
        </is>
      </c>
      <c r="G15" s="7" t="inlineStr">
        <is>
          <t>예능 프로그램명 '쇼미더머니' 프로듀서 참여</t>
        </is>
      </c>
      <c r="H15" s="7" t="inlineStr"/>
      <c r="I15" s="7" t="inlineStr"/>
      <c r="J15" s="7" t="inlineStr"/>
      <c r="K15" s="7" t="inlineStr"/>
    </row>
    <row r="16">
      <c r="A16" t="n">
        <v>15</v>
      </c>
      <c r="B16" t="inlineStr">
        <is>
          <t>TWICE</t>
        </is>
      </c>
      <c r="C16" t="inlineStr">
        <is>
          <t>spillover</t>
        </is>
      </c>
      <c r="D16" s="2" t="inlineStr">
        <is>
          <t>한국 여성 아티스트 최초로 빌보드 월드앨범차트와 월드디지털송세일즈차트를 동시 석권했다.</t>
        </is>
      </c>
      <c r="E16" t="inlineStr"/>
      <c r="F16" t="inlineStr">
        <is>
          <t>N</t>
        </is>
      </c>
      <c r="G16" t="inlineStr"/>
      <c r="H16" s="6" t="inlineStr"/>
      <c r="I16" t="inlineStr"/>
      <c r="J16" t="inlineStr"/>
      <c r="K16" t="inlineStr"/>
    </row>
    <row r="17">
      <c r="A17" t="n">
        <v>16</v>
      </c>
      <c r="B17" t="inlineStr">
        <is>
          <t>LE SSERAFIM</t>
        </is>
      </c>
      <c r="C17" t="inlineStr">
        <is>
          <t>spillover</t>
        </is>
      </c>
      <c r="D17" s="2" t="inlineStr">
        <is>
          <t>르세라핌, 2023년 10월 루이비통(Louis Vuitton) 하우스 앰버서더로 발탁</t>
        </is>
      </c>
      <c r="E17" t="inlineStr"/>
      <c r="F17" t="inlineStr">
        <is>
          <t>N</t>
        </is>
      </c>
      <c r="G17" t="inlineStr"/>
      <c r="H17" s="6" t="inlineStr"/>
      <c r="I17" t="inlineStr"/>
      <c r="J17" t="inlineStr"/>
      <c r="K17" t="inlineStr"/>
    </row>
    <row r="18">
      <c r="A18" t="n">
        <v>17</v>
      </c>
      <c r="B18" t="inlineStr">
        <is>
          <t>EXO</t>
        </is>
      </c>
      <c r="C18" t="inlineStr">
        <is>
          <t>spillover</t>
        </is>
      </c>
      <c r="D18" s="2" t="inlineStr">
        <is>
          <t>3년 만의 컴백 앨범 'REVERXE' 소식을 빌보드 브라질이 상세 보도</t>
        </is>
      </c>
      <c r="E18" t="inlineStr"/>
      <c r="F18" t="inlineStr">
        <is>
          <t>N</t>
        </is>
      </c>
      <c r="G18" t="inlineStr"/>
      <c r="H18" s="6" t="inlineStr"/>
      <c r="I18" t="inlineStr"/>
      <c r="J18" t="inlineStr"/>
      <c r="K18" t="inlineStr"/>
    </row>
    <row r="19">
      <c r="A19" t="n">
        <v>18</v>
      </c>
      <c r="B19" t="inlineStr">
        <is>
          <t>이영지</t>
        </is>
      </c>
      <c r="C19" t="inlineStr">
        <is>
          <t>spillover</t>
        </is>
      </c>
      <c r="D19" s="2" t="inlineStr">
        <is>
          <t>나타리 뮤직에 이영지 아티스트 프로필 페이지가 개설되어 있다</t>
        </is>
      </c>
      <c r="E19" t="inlineStr"/>
      <c r="F19" t="inlineStr">
        <is>
          <t>N</t>
        </is>
      </c>
      <c r="G19" t="inlineStr"/>
      <c r="H19" s="6" t="inlineStr"/>
      <c r="I19" t="inlineStr"/>
      <c r="J19" t="inlineStr"/>
      <c r="K19" t="inlineStr"/>
    </row>
    <row r="20">
      <c r="A20" t="n">
        <v>19</v>
      </c>
      <c r="B20" t="inlineStr">
        <is>
          <t>박효신</t>
        </is>
      </c>
      <c r="C20" t="inlineStr">
        <is>
          <t>spillover</t>
        </is>
      </c>
      <c r="D20" s="2" t="inlineStr">
        <is>
          <t>중국어 위키백과(维基百科) 박효신 항목에 그가 일본 가수 나카시마 미카(中島美嘉)의 대표곡 '유키노하나'(雪の花, 눈의 꽃)를 커버한 사실이 기록되어 있어, 중화권 정보원에서도 그의 레퍼토리가 일본 음악과 맞닿아 있음이 소개되고 있다.</t>
        </is>
      </c>
      <c r="E20" t="inlineStr"/>
      <c r="F20" t="inlineStr">
        <is>
          <t>N</t>
        </is>
      </c>
      <c r="G20" t="inlineStr"/>
      <c r="H20" s="6" t="inlineStr"/>
      <c r="I20" t="inlineStr"/>
      <c r="J20" t="inlineStr"/>
      <c r="K20" t="inlineStr"/>
    </row>
    <row r="21">
      <c r="A21" s="7" t="n">
        <v>20</v>
      </c>
      <c r="B21" s="7" t="inlineStr">
        <is>
          <t>지코</t>
        </is>
      </c>
      <c r="C21" s="7" t="inlineStr">
        <is>
          <t>loyalty</t>
        </is>
      </c>
      <c r="D21" s="8" t="inlineStr">
        <is>
          <t>2015년 멜론 라디오 프로그램 진행</t>
        </is>
      </c>
      <c r="E21" s="7" t="inlineStr">
        <is>
          <t>라디오</t>
        </is>
      </c>
      <c r="F21" s="7" t="inlineStr">
        <is>
          <t>Y</t>
        </is>
      </c>
      <c r="G21" s="7" t="inlineStr">
        <is>
          <t>라디오 프로그램 진행</t>
        </is>
      </c>
      <c r="H21" s="7" t="inlineStr"/>
      <c r="I21" s="7" t="inlineStr"/>
      <c r="J21" s="7" t="inlineStr"/>
      <c r="K21" s="7" t="inlineStr"/>
    </row>
    <row r="22">
      <c r="A22" t="n">
        <v>21</v>
      </c>
      <c r="B22" t="inlineStr">
        <is>
          <t>이영지</t>
        </is>
      </c>
      <c r="C22" t="inlineStr">
        <is>
          <t>spillover</t>
        </is>
      </c>
      <c r="D22" s="2" t="inlineStr">
        <is>
          <t>2024년 6월 발매한 첫 정규 앨범 '16 Fantasy'가 멜론 데일리 차트 1위, 위클리 차트 3주 연속 2위를 기록했다</t>
        </is>
      </c>
      <c r="E22" t="inlineStr"/>
      <c r="F22" t="inlineStr">
        <is>
          <t>N</t>
        </is>
      </c>
      <c r="G22" t="inlineStr"/>
      <c r="H22" s="6" t="inlineStr"/>
      <c r="I22" t="inlineStr"/>
      <c r="J22" t="inlineStr"/>
      <c r="K22" t="inlineStr"/>
    </row>
    <row r="23">
      <c r="A23" t="n">
        <v>22</v>
      </c>
      <c r="B23" t="inlineStr">
        <is>
          <t>박서진</t>
        </is>
      </c>
      <c r="C23" t="inlineStr">
        <is>
          <t>loyalty</t>
        </is>
      </c>
      <c r="D23" s="2" t="inlineStr">
        <is>
          <t>2022년 10월 대전 뮤직페스티벌에서 닻별 회원들은 비가 내리는 와중에도 관객을 위해 좌석을 닦고 공연 후 쓰레기를 치우는 현장 봉사를 했다.</t>
        </is>
      </c>
      <c r="E23" t="inlineStr"/>
      <c r="F23" t="inlineStr">
        <is>
          <t>N</t>
        </is>
      </c>
      <c r="G23" t="inlineStr"/>
      <c r="H23" s="6" t="inlineStr"/>
      <c r="I23" t="inlineStr"/>
      <c r="J23" t="inlineStr"/>
      <c r="K23" t="inlineStr"/>
    </row>
    <row r="24">
      <c r="A24" s="7" t="n">
        <v>23</v>
      </c>
      <c r="B24" s="7" t="inlineStr">
        <is>
          <t>잭스키스</t>
        </is>
      </c>
      <c r="C24" s="7" t="inlineStr">
        <is>
          <t>spillover</t>
        </is>
      </c>
      <c r="D24" s="8" t="inlineStr">
        <is>
          <t>Documentary "Sechskies Eighteen" (2018) ranked #1 in Korean seat sales for February 2018, selling 91.4% of available seats and topping 50,000 tickets sold by March 2018.</t>
        </is>
      </c>
      <c r="E24" s="7" t="inlineStr"/>
      <c r="F24" s="7" t="inlineStr">
        <is>
          <t>Y</t>
        </is>
      </c>
      <c r="G24" s="7" t="inlineStr">
        <is>
          <t>Documentary (영문 다큐·영화)</t>
        </is>
      </c>
      <c r="H24" s="7" t="inlineStr"/>
      <c r="I24" s="7" t="inlineStr"/>
      <c r="J24" s="7" t="inlineStr"/>
      <c r="K24" s="7" t="inlineStr"/>
    </row>
    <row r="25">
      <c r="A25" s="7" t="n">
        <v>24</v>
      </c>
      <c r="B25" s="7" t="inlineStr">
        <is>
          <t>거미</t>
        </is>
      </c>
      <c r="C25" s="7" t="inlineStr">
        <is>
          <t>spillover</t>
        </is>
      </c>
      <c r="D25" s="8" t="inlineStr">
        <is>
          <t>거미는 MBC '나는 가수다' 시즌1(2011)에 출연자로 참여했다.</t>
        </is>
      </c>
      <c r="E25" s="7" t="inlineStr"/>
      <c r="F25" s="7" t="inlineStr">
        <is>
          <t>Y</t>
        </is>
      </c>
      <c r="G25" s="7" t="inlineStr">
        <is>
          <t>MBC '나는 가수다' 출연</t>
        </is>
      </c>
      <c r="H25" s="7" t="inlineStr"/>
      <c r="I25" s="7" t="inlineStr"/>
      <c r="J25" s="7" t="inlineStr"/>
      <c r="K25" s="7" t="inlineStr"/>
    </row>
    <row r="26">
      <c r="A26" t="n">
        <v>25</v>
      </c>
      <c r="B26" t="inlineStr">
        <is>
          <t>비비</t>
        </is>
      </c>
      <c r="C26" t="inlineStr">
        <is>
          <t>spillover</t>
        </is>
      </c>
      <c r="D26" s="2" t="inlineStr">
        <is>
          <t>남서울대학교 축제 공연에서 비비의 비속어 발언에 현장 관객은 즉각 호응했지만, 온라인에서는 '수천만원 학비로 가수 불렀더니 학교를 깎아내렸다'는 등 부정적 반응이 대부분이었고 관련 영상은 59만 조회수를 기록했다.</t>
        </is>
      </c>
      <c r="E26" t="inlineStr"/>
      <c r="F26" t="inlineStr">
        <is>
          <t>N</t>
        </is>
      </c>
      <c r="G26" t="inlineStr"/>
      <c r="H26" s="6" t="inlineStr"/>
      <c r="I26" t="inlineStr"/>
      <c r="J26" t="inlineStr"/>
      <c r="K26" t="inlineStr"/>
    </row>
    <row r="27">
      <c r="A27" t="n">
        <v>26</v>
      </c>
      <c r="B27" t="inlineStr">
        <is>
          <t>백지영</t>
        </is>
      </c>
      <c r="C27" t="inlineStr">
        <is>
          <t>spillover</t>
        </is>
      </c>
      <c r="D27" s="2" t="inlineStr">
        <is>
          <t>백지영은 2013년 5월 일본에서 첫 단독 콘서트를 매진시켰다.</t>
        </is>
      </c>
      <c r="E27" t="inlineStr"/>
      <c r="F27" t="inlineStr">
        <is>
          <t>N</t>
        </is>
      </c>
      <c r="G27" t="inlineStr"/>
      <c r="H27" s="6" t="inlineStr"/>
      <c r="I27" t="inlineStr"/>
      <c r="J27" t="inlineStr"/>
      <c r="K27" t="inlineStr"/>
    </row>
    <row r="28">
      <c r="A28" t="n">
        <v>27</v>
      </c>
      <c r="B28" t="inlineStr">
        <is>
          <t>동방신기</t>
        </is>
      </c>
      <c r="C28" t="inlineStr">
        <is>
          <t>loyalty</t>
        </is>
      </c>
      <c r="D28" s="2" t="inlineStr">
        <is>
          <t>TVXQ held "2023 TVXQ CONCERT '20&amp;2'" (Dec. 30-31, 2023) marking 20 years since debut and their first concert in ~4 years 9 months; fandom Cassiopeia described as "800,000-strong".</t>
        </is>
      </c>
      <c r="E28" t="inlineStr"/>
      <c r="F28" t="inlineStr">
        <is>
          <t>N</t>
        </is>
      </c>
      <c r="G28" t="inlineStr"/>
      <c r="H28" s="6" t="inlineStr"/>
      <c r="I28" t="inlineStr"/>
      <c r="J28" t="inlineStr"/>
      <c r="K28" t="inlineStr"/>
    </row>
    <row r="29">
      <c r="A29" t="n">
        <v>28</v>
      </c>
      <c r="B29" t="inlineStr">
        <is>
          <t>Stray Kids</t>
        </is>
      </c>
      <c r="C29" t="inlineStr">
        <is>
          <t>spillover</t>
        </is>
      </c>
      <c r="D29" s="2" t="inlineStr">
        <is>
          <t>2026년 5월 기준 한국·일본 앨범 합산 누적 판매량이 4천만 장을 넘어섰다</t>
        </is>
      </c>
      <c r="E29" t="inlineStr"/>
      <c r="F29" t="inlineStr">
        <is>
          <t>N</t>
        </is>
      </c>
      <c r="G29" t="inlineStr"/>
      <c r="H29" s="6" t="inlineStr"/>
      <c r="I29" t="inlineStr"/>
      <c r="J29" t="inlineStr"/>
      <c r="K29" t="inlineStr"/>
    </row>
    <row r="30">
      <c r="A30" s="7" t="n">
        <v>29</v>
      </c>
      <c r="B30" s="7" t="inlineStr">
        <is>
          <t>케이윌</t>
        </is>
      </c>
      <c r="C30" s="7" t="inlineStr">
        <is>
          <t>spillover</t>
        </is>
      </c>
      <c r="D30" s="8" t="inlineStr">
        <is>
          <t>Set a record of five consecutive wins on Immortal Songs 2 before departing in January 2012, and appeared as a "Master" on the singing-competition show Tomorrow's National Singer (August 2021)</t>
        </is>
      </c>
      <c r="E30" s="7" t="inlineStr"/>
      <c r="F30" s="7" t="inlineStr">
        <is>
          <t>Y</t>
        </is>
      </c>
      <c r="G30" s="7" t="inlineStr">
        <is>
          <t>Immortal Songs 2 / singing-competition show (영문 예능)</t>
        </is>
      </c>
      <c r="H30" s="7" t="inlineStr"/>
      <c r="I30" s="7" t="inlineStr"/>
      <c r="J30" s="7" t="inlineStr"/>
      <c r="K30" s="7" t="inlineStr"/>
    </row>
    <row r="31">
      <c r="A31" t="n">
        <v>30</v>
      </c>
      <c r="B31" t="inlineStr">
        <is>
          <t>보아</t>
        </is>
      </c>
      <c r="C31" t="inlineStr">
        <is>
          <t>loyalty</t>
        </is>
      </c>
      <c r="D31" s="2" t="inlineStr">
        <is>
          <t>BoA established a new fan club "Jumping BoA 1기" after leaving SM Entertainment in 2026 and founding her own agency BApal Entertainment; recruitment ran from the 1st to the 17th (2026), as the first artist on fandom platform PLEDGE by day1dream</t>
        </is>
      </c>
      <c r="E31" t="inlineStr"/>
      <c r="F31" t="inlineStr">
        <is>
          <t>N</t>
        </is>
      </c>
      <c r="G31" t="inlineStr"/>
      <c r="H31" s="6" t="inlineStr"/>
      <c r="I31" t="inlineStr"/>
      <c r="J31" t="inlineStr"/>
      <c r="K31" t="inlineStr"/>
    </row>
    <row r="32">
      <c r="A32" t="n">
        <v>31</v>
      </c>
      <c r="B32" t="inlineStr">
        <is>
          <t>STAYC</t>
        </is>
      </c>
      <c r="C32" t="inlineStr">
        <is>
          <t>spillover</t>
        </is>
      </c>
      <c r="D32" s="2" t="inlineStr">
        <is>
          <t>넥슨이 온라인 액션 RPG '엘소드(Elsword)'의 공식 홍보 모델로 걸그룹 STAYC를 발탁하고 신곡 'Bubble' 콘셉트의 협업 콘텐츠를 선보였다(2023년 8월 17일).</t>
        </is>
      </c>
      <c r="E32" t="inlineStr"/>
      <c r="F32" t="inlineStr">
        <is>
          <t>N</t>
        </is>
      </c>
      <c r="G32" t="inlineStr"/>
      <c r="H32" s="6" t="inlineStr"/>
      <c r="I32" t="inlineStr"/>
      <c r="J32" t="inlineStr"/>
      <c r="K32" t="inlineStr"/>
    </row>
    <row r="33">
      <c r="A33" t="n">
        <v>32</v>
      </c>
      <c r="B33" t="inlineStr">
        <is>
          <t>(여자)아이들</t>
        </is>
      </c>
      <c r="C33" t="inlineStr">
        <is>
          <t>spillover</t>
        </is>
      </c>
      <c r="D33" s="2" t="inlineStr">
        <is>
          <t>홍콩 HK01은 (여자)아이들의 곡 "Wife"에 대해 "含大量性暗示「歌詞中文意思曝光」直逼19禁"라는 제목으로 가사 중문 번역과 함께 선정성 논란을 보도했다.</t>
        </is>
      </c>
      <c r="E33" t="inlineStr"/>
      <c r="F33" t="inlineStr">
        <is>
          <t>N</t>
        </is>
      </c>
      <c r="G33" t="inlineStr"/>
      <c r="H33" s="6" t="inlineStr"/>
      <c r="I33" t="inlineStr"/>
      <c r="J33" t="inlineStr"/>
      <c r="K33" t="inlineStr"/>
    </row>
    <row r="34">
      <c r="A34" t="n">
        <v>33</v>
      </c>
      <c r="B34" t="inlineStr">
        <is>
          <t>나훈아</t>
        </is>
      </c>
      <c r="C34" t="inlineStr">
        <is>
          <t>loyalty</t>
        </is>
      </c>
      <c r="D34" s="2" t="inlineStr">
        <is>
          <t>His 2024 "고마웠습니다 - 라스트 콘서트" (farewell tour) sold out virtually instantly, triggering a wave of scalping activity.</t>
        </is>
      </c>
      <c r="E34" t="inlineStr"/>
      <c r="F34" t="inlineStr">
        <is>
          <t>N</t>
        </is>
      </c>
      <c r="G34" t="inlineStr"/>
      <c r="H34" s="6" t="inlineStr"/>
      <c r="I34" t="inlineStr"/>
      <c r="J34" t="inlineStr"/>
      <c r="K34" t="inlineStr"/>
    </row>
    <row r="35">
      <c r="A35" t="n">
        <v>34</v>
      </c>
      <c r="B35" t="inlineStr">
        <is>
          <t>박재범</t>
        </is>
      </c>
      <c r="C35" t="inlineStr">
        <is>
          <t>spillover</t>
        </is>
      </c>
      <c r="D35" s="2" t="inlineStr">
        <is>
          <t>원소주 팝업스토어는 열릴 때마다 전량 매진되는 등 오프라인 유통에서도 화제를 모았다.</t>
        </is>
      </c>
      <c r="E35" t="inlineStr"/>
      <c r="F35" t="inlineStr">
        <is>
          <t>N</t>
        </is>
      </c>
      <c r="G35" t="inlineStr"/>
      <c r="H35" s="6" t="inlineStr"/>
      <c r="I35" t="inlineStr"/>
      <c r="J35" t="inlineStr"/>
      <c r="K35" t="inlineStr"/>
    </row>
    <row r="36">
      <c r="A36" s="7" t="n">
        <v>35</v>
      </c>
      <c r="B36" s="7" t="inlineStr">
        <is>
          <t>SEVENTEEN</t>
        </is>
      </c>
      <c r="C36" s="7" t="inlineStr">
        <is>
          <t>spillover</t>
        </is>
      </c>
      <c r="D36" s="8" t="inlineStr">
        <is>
          <t>세븐틴이 2015년 SBS '런닝맨', 2019년 JTBC '아는 형님'에 출연했다.</t>
        </is>
      </c>
      <c r="E36" s="7" t="inlineStr"/>
      <c r="F36" s="7" t="inlineStr">
        <is>
          <t>Y</t>
        </is>
      </c>
      <c r="G36" s="7" t="inlineStr">
        <is>
          <t>SBS '런닝맨', JTBC '아는 형님' 출연</t>
        </is>
      </c>
      <c r="H36" s="7" t="inlineStr"/>
      <c r="I36" s="7" t="inlineStr"/>
      <c r="J36" s="7" t="inlineStr"/>
      <c r="K36" s="7" t="inlineStr"/>
    </row>
    <row r="37">
      <c r="A37" t="n">
        <v>36</v>
      </c>
      <c r="B37" t="inlineStr">
        <is>
          <t>BABYMONSTER</t>
        </is>
      </c>
      <c r="C37" t="inlineStr">
        <is>
          <t>spillover</t>
        </is>
      </c>
      <c r="D37" s="2" t="inlineStr">
        <is>
          <t>튀르키예 방송사 TGRT Haber는 BABYMONSTER를 'YENİ BLACKPINK(새로운 블랙핑크)'로 소개하며 멤버 국적과 나이, 데뷔곡 'Batter Up' 발매 소식을 전했다.</t>
        </is>
      </c>
      <c r="E37" t="inlineStr"/>
      <c r="F37" t="inlineStr">
        <is>
          <t>N</t>
        </is>
      </c>
      <c r="G37" t="inlineStr"/>
      <c r="H37" s="6" t="inlineStr"/>
      <c r="I37" t="inlineStr"/>
      <c r="J37" t="inlineStr"/>
      <c r="K37" t="inlineStr"/>
    </row>
    <row r="38">
      <c r="A38" t="n">
        <v>37</v>
      </c>
      <c r="B38" t="inlineStr">
        <is>
          <t>아이유</t>
        </is>
      </c>
      <c r="C38" t="inlineStr">
        <is>
          <t>spillover</t>
        </is>
      </c>
      <c r="D38" s="2" t="inlineStr">
        <is>
          <t>구찌(GUCCI)가 2022년 아이유를 글로벌 앰버서더로 발탁한 데 이어, 2024년 2월 마리끌레르 코리아와 함께한 '비욘드 장르(Beyond Genre)' 화보를 통해 2024년에도 구찌 캠페인 모델 활동을 이어갔다.</t>
        </is>
      </c>
      <c r="E38" t="inlineStr"/>
      <c r="F38" t="inlineStr">
        <is>
          <t>N</t>
        </is>
      </c>
      <c r="G38" t="inlineStr"/>
      <c r="H38" s="6" t="inlineStr"/>
      <c r="I38" t="inlineStr"/>
      <c r="J38" t="inlineStr"/>
      <c r="K38" t="inlineStr"/>
    </row>
    <row r="39">
      <c r="A39" t="n">
        <v>38</v>
      </c>
      <c r="B39" t="inlineStr">
        <is>
          <t>BTS</t>
        </is>
      </c>
      <c r="C39" t="inlineStr">
        <is>
          <t>loyalty</t>
        </is>
      </c>
      <c r="D39" s="2" t="inlineStr">
        <is>
          <t>BARKS가 BTS의 뉴욕 그랜드 센트럴역 'ON' 깜짝 무대 소식을 팬 반응과 함께 보도했다</t>
        </is>
      </c>
      <c r="E39" t="inlineStr"/>
      <c r="F39" t="inlineStr">
        <is>
          <t>N</t>
        </is>
      </c>
      <c r="G39" t="inlineStr"/>
      <c r="H39" s="6" t="inlineStr"/>
      <c r="I39" t="inlineStr"/>
      <c r="J39" t="inlineStr"/>
      <c r="K39" t="inlineStr"/>
    </row>
    <row r="40">
      <c r="A40" t="n">
        <v>39</v>
      </c>
      <c r="B40" t="inlineStr">
        <is>
          <t>최예나</t>
        </is>
      </c>
      <c r="C40" t="inlineStr">
        <is>
          <t>spillover</t>
        </is>
      </c>
      <c r="D40" s="2" t="inlineStr">
        <is>
          <t>최예나, 신곡 제목 'Hate Rodrigo'가 올리비아 로드리고 겨냥한 것 아니냐는 논란</t>
        </is>
      </c>
      <c r="E40" t="inlineStr"/>
      <c r="F40" t="inlineStr">
        <is>
          <t>N</t>
        </is>
      </c>
      <c r="G40" t="inlineStr"/>
      <c r="H40" s="6" t="inlineStr"/>
      <c r="I40" t="inlineStr"/>
      <c r="J40" t="inlineStr"/>
      <c r="K40" t="inlineStr"/>
    </row>
    <row r="41">
      <c r="A41" t="n">
        <v>40</v>
      </c>
      <c r="B41" t="inlineStr">
        <is>
          <t>GOT7</t>
        </is>
      </c>
      <c r="C41" t="inlineStr">
        <is>
          <t>spillover</t>
        </is>
      </c>
      <c r="D41" s="2" t="inlineStr">
        <is>
          <t>잭슨 왕의 첫 정규앨범 'Mirrors'(2019)는 빌보드 인디펜던트 앨범 차트 1위, 빌보드 200 32위에 오르며 중국 국적 아티스트의 정규앨범으로는 역대 최고 빌보드 200 진입 기록을 세웠다.</t>
        </is>
      </c>
      <c r="E41" t="inlineStr"/>
      <c r="F41" t="inlineStr">
        <is>
          <t>N</t>
        </is>
      </c>
      <c r="G41" t="inlineStr"/>
      <c r="H41" s="6" t="inlineStr"/>
      <c r="I41" t="inlineStr"/>
      <c r="J41" t="inlineStr"/>
      <c r="K41" t="inlineStr"/>
    </row>
    <row r="42">
      <c r="A42" t="n">
        <v>41</v>
      </c>
      <c r="B42" t="inlineStr">
        <is>
          <t>CORTIS</t>
        </is>
      </c>
      <c r="C42" t="inlineStr">
        <is>
          <t>loyalty</t>
        </is>
      </c>
      <c r="D42" s="2" t="inlineStr">
        <is>
          <t>일본 문화 매체 SPUR(일본어)는 CORTIS의 첫 단독 일본 투어 마지막 공연(2026년 9월 4~6일, 요코하마 피아 아레나 MM)에서 투어명 'PUT YOUR PHONE DOWN'의 취지대로 팬들이 휴대폰을 내려놓고 공식 앱 'PYPD'로 점프 횟수를 기록하며 열광했고, 최연소 멤버 곤호가 '2~4층 관객까지 다 보이고 목소리가 들렸다'고 소감을 밝혔으며 미공개곡 'NANI'를 깜짝 공개했다고 보도했다.</t>
        </is>
      </c>
      <c r="E42" t="inlineStr"/>
      <c r="F42" t="inlineStr">
        <is>
          <t>N</t>
        </is>
      </c>
      <c r="G42" t="inlineStr"/>
      <c r="H42" s="6" t="inlineStr"/>
      <c r="I42" t="inlineStr"/>
      <c r="J42" t="inlineStr"/>
      <c r="K42" t="inlineStr"/>
    </row>
    <row r="43">
      <c r="A43" t="n">
        <v>42</v>
      </c>
      <c r="B43" t="inlineStr">
        <is>
          <t>아이유</t>
        </is>
      </c>
      <c r="C43" t="inlineStr">
        <is>
          <t>spillover</t>
        </is>
      </c>
      <c r="D43" s="2" t="inlineStr">
        <is>
          <t>우리은행이 퇴직연금 갈아타기 캠페인 광고에 아이유를 출연시켜 공개했다(2024년 10월).</t>
        </is>
      </c>
      <c r="E43" t="inlineStr"/>
      <c r="F43" t="inlineStr">
        <is>
          <t>N</t>
        </is>
      </c>
      <c r="G43" t="inlineStr"/>
      <c r="H43" s="6" t="inlineStr"/>
      <c r="I43" t="inlineStr"/>
      <c r="J43" t="inlineStr"/>
      <c r="K43" t="inlineStr"/>
    </row>
    <row r="44">
      <c r="A44" t="n">
        <v>43</v>
      </c>
      <c r="B44" t="inlineStr">
        <is>
          <t>Zion.T</t>
        </is>
      </c>
      <c r="C44" t="inlineStr">
        <is>
          <t>spillover</t>
        </is>
      </c>
      <c r="D44" s="2" t="inlineStr">
        <is>
          <t>Zion.T의 '꺼내 먹어요'는 공개와 함께 여러 음원차트에서 1위를 차지했으며 멜론 연간차트 3위에 올랐다</t>
        </is>
      </c>
      <c r="E44" t="inlineStr"/>
      <c r="F44" t="inlineStr">
        <is>
          <t>N</t>
        </is>
      </c>
      <c r="G44" t="inlineStr"/>
      <c r="H44" s="6" t="inlineStr"/>
      <c r="I44" t="inlineStr"/>
      <c r="J44" t="inlineStr"/>
      <c r="K44" t="inlineStr"/>
    </row>
    <row r="45">
      <c r="A45" t="n">
        <v>44</v>
      </c>
      <c r="B45" t="inlineStr">
        <is>
          <t>Stray Kids</t>
        </is>
      </c>
      <c r="C45" t="inlineStr">
        <is>
          <t>loyalty</t>
        </is>
      </c>
      <c r="D45" s="2" t="inlineStr">
        <is>
          <t>Main vokalnya STAY dari seluruh dunia. Luar biasa bagus sekali.</t>
        </is>
      </c>
      <c r="E45" t="inlineStr"/>
      <c r="F45" t="inlineStr">
        <is>
          <t>N</t>
        </is>
      </c>
      <c r="G45" t="inlineStr"/>
      <c r="H45" s="6" t="inlineStr"/>
      <c r="I45" t="inlineStr"/>
      <c r="J45" t="inlineStr"/>
      <c r="K45" t="inlineStr"/>
    </row>
    <row r="46">
      <c r="A46" t="n">
        <v>45</v>
      </c>
      <c r="B46" t="inlineStr">
        <is>
          <t>지코</t>
        </is>
      </c>
      <c r="C46" t="inlineStr">
        <is>
          <t>spillover</t>
        </is>
      </c>
      <c r="D46" s="2" t="inlineStr">
        <is>
          <t>WebFetch로 직접 열람해 아랍어 본문임을 확인함. 아랍어 백과사전 '아라비카(3rabica.org)'에 지코가 1992년 9월 14일생 한국 음반 프로듀서 겸 작곡가 겸 가수라는 사실이 아랍어로 기재되어 있다.</t>
        </is>
      </c>
      <c r="E46" t="inlineStr"/>
      <c r="F46" t="inlineStr">
        <is>
          <t>N</t>
        </is>
      </c>
      <c r="G46" t="inlineStr"/>
      <c r="H46" s="6" t="inlineStr"/>
      <c r="I46" t="inlineStr"/>
      <c r="J46" t="inlineStr"/>
      <c r="K46" t="inlineStr"/>
    </row>
    <row r="47">
      <c r="A47" t="n">
        <v>46</v>
      </c>
      <c r="B47" t="inlineStr">
        <is>
          <t>임영웅</t>
        </is>
      </c>
      <c r="C47" t="inlineStr">
        <is>
          <t>spillover</t>
        </is>
      </c>
      <c r="D47" s="2" t="inlineStr">
        <is>
          <t>임영웅의 2026년 전국투어 '아임 히어로'가 인천·대구·서울·광주·대전·부산 등 7개 지역 24회 공연에서 총 25만 2천 명을 동원하며 전 회차 전석 매진, 평균 티켓가 기준 400억 원 이상의 티켓 매출을 기록함</t>
        </is>
      </c>
      <c r="E47" t="inlineStr"/>
      <c r="F47" t="inlineStr">
        <is>
          <t>N</t>
        </is>
      </c>
      <c r="G47" t="inlineStr"/>
      <c r="H47" s="6" t="inlineStr"/>
      <c r="I47" t="inlineStr"/>
      <c r="J47" t="inlineStr"/>
      <c r="K47" t="inlineStr"/>
    </row>
    <row r="48">
      <c r="A48" t="n">
        <v>47</v>
      </c>
      <c r="B48" t="inlineStr">
        <is>
          <t>임영웅</t>
        </is>
      </c>
      <c r="C48" t="inlineStr">
        <is>
          <t>loyalty</t>
        </is>
      </c>
      <c r="D48" s="2" t="inlineStr">
        <is>
          <t>임영웅 팬클럽 '영웅시대 with Hero 경기3지부'는 지역 단위로 따뜻한 기부 활동을 진행했다.</t>
        </is>
      </c>
      <c r="E48" t="inlineStr"/>
      <c r="F48" t="inlineStr">
        <is>
          <t>N</t>
        </is>
      </c>
      <c r="G48" t="inlineStr"/>
      <c r="H48" s="6" t="inlineStr"/>
      <c r="I48" t="inlineStr"/>
      <c r="J48" t="inlineStr"/>
      <c r="K48" t="inlineStr"/>
    </row>
    <row r="49">
      <c r="A49" t="n">
        <v>48</v>
      </c>
      <c r="B49" t="inlineStr">
        <is>
          <t>조용필</t>
        </is>
      </c>
      <c r="C49" t="inlineStr">
        <is>
          <t>loyalty</t>
        </is>
      </c>
      <c r="D49" s="2" t="inlineStr">
        <is>
          <t>2021년 화성시에서 '문화공작소·화성 협동조합'이 창립돼 조용필 기념공간 조성, 도로명 지정, 음악관 건립 등이 중장기 계획으로 추진되고 있다.</t>
        </is>
      </c>
      <c r="E49" t="inlineStr"/>
      <c r="F49" t="inlineStr">
        <is>
          <t>N</t>
        </is>
      </c>
      <c r="G49" t="inlineStr"/>
      <c r="H49" s="6" t="inlineStr"/>
      <c r="I49" t="inlineStr"/>
      <c r="J49" t="inlineStr"/>
      <c r="K49" t="inlineStr"/>
    </row>
    <row r="50">
      <c r="A50" t="n">
        <v>49</v>
      </c>
      <c r="B50" t="inlineStr">
        <is>
          <t>BTS</t>
        </is>
      </c>
      <c r="C50" t="inlineStr">
        <is>
          <t>spillover</t>
        </is>
      </c>
      <c r="D50" s="2" t="inlineStr">
        <is>
          <t>BTS는 한국 대중음악 최초로 그래미 어워드 후보에 오르며 K팝의 서구 시상식 진입 흐름을 이끌었다</t>
        </is>
      </c>
      <c r="E50" t="inlineStr"/>
      <c r="F50" t="inlineStr">
        <is>
          <t>N</t>
        </is>
      </c>
      <c r="G50" t="inlineStr"/>
      <c r="H50" s="6" t="inlineStr"/>
      <c r="I50" t="inlineStr"/>
      <c r="J50" t="inlineStr"/>
      <c r="K50" t="inlineStr"/>
    </row>
    <row r="51">
      <c r="A51" t="n">
        <v>50</v>
      </c>
      <c r="B51" t="inlineStr">
        <is>
          <t>EXO</t>
        </is>
      </c>
      <c r="C51" t="inlineStr">
        <is>
          <t>spillover</t>
        </is>
      </c>
      <c r="D51" s="2" t="inlineStr">
        <is>
          <t>세훈은 2026년 7월 디올(Dior)의 방콕 시암 파라곤 부티크 오프닝 행사에 참석해 디올 룩을 선보이며 '디올의 남자'로 소개됐다.</t>
        </is>
      </c>
      <c r="E51" t="inlineStr"/>
      <c r="F51" t="inlineStr">
        <is>
          <t>N</t>
        </is>
      </c>
      <c r="G51" t="inlineStr"/>
      <c r="H51" s="6" t="inlineStr"/>
      <c r="I51" t="inlineStr"/>
      <c r="J51" t="inlineStr"/>
      <c r="K51" t="inlineStr"/>
    </row>
    <row r="52">
      <c r="A52" t="n">
        <v>51</v>
      </c>
      <c r="B52" t="inlineStr">
        <is>
          <t>NewJeans</t>
        </is>
      </c>
      <c r="C52" t="inlineStr">
        <is>
          <t>spillover</t>
        </is>
      </c>
      <c r="D52" s="2" t="inlineStr">
        <is>
          <t>뉴진스가 2024년 5월 데뷔 후 최다인 7개 대학 축제 무대에 올라 '뜨거운 호응'을 얻었으며, 신곡 발매 시점에 맞춘 출연으로 대중적 친근감을 높였다는 평가를 받았다. 뉴진스는 해당 출연료 전액을 기부해 화제를 더했다.</t>
        </is>
      </c>
      <c r="E52" t="inlineStr"/>
      <c r="F52" t="inlineStr">
        <is>
          <t>N</t>
        </is>
      </c>
      <c r="G52" t="inlineStr"/>
      <c r="H52" s="6" t="inlineStr"/>
      <c r="I52" t="inlineStr"/>
      <c r="J52" t="inlineStr"/>
      <c r="K52" t="inlineStr"/>
    </row>
    <row r="53">
      <c r="A53" t="n">
        <v>52</v>
      </c>
      <c r="B53" t="inlineStr">
        <is>
          <t>임영웅</t>
        </is>
      </c>
      <c r="C53" t="inlineStr">
        <is>
          <t>spillover</t>
        </is>
      </c>
      <c r="D53" s="2" t="inlineStr">
        <is>
          <t>15 of his songs simultaneously entered Billboard Korea's "Hot 100" main chart in the week of April 2, 2026, marking 19 consecutive weeks of chart entries</t>
        </is>
      </c>
      <c r="E53" t="inlineStr"/>
      <c r="F53" t="inlineStr">
        <is>
          <t>N</t>
        </is>
      </c>
      <c r="G53" t="inlineStr"/>
      <c r="H53" s="6" t="inlineStr"/>
      <c r="I53" t="inlineStr"/>
      <c r="J53" t="inlineStr"/>
      <c r="K53" t="inlineStr"/>
    </row>
    <row r="54">
      <c r="A54" t="n">
        <v>53</v>
      </c>
      <c r="B54" t="inlineStr">
        <is>
          <t>마마무</t>
        </is>
      </c>
      <c r="C54" t="inlineStr">
        <is>
          <t>spillover</t>
        </is>
      </c>
      <c r="D54" s="2" t="inlineStr">
        <is>
          <t>KPOPNA가 마마무를 Rainbow Bridge World(현 WA엔터테인먼트) 산하 2014년 6월 18일 데뷔 4인조로, 멤버(솔라·문별·휘인·화사)의 리더·포지션 정보를 아랍어로 기술함(WebFetch로 확인).</t>
        </is>
      </c>
      <c r="E54" t="inlineStr"/>
      <c r="F54" t="inlineStr">
        <is>
          <t>N</t>
        </is>
      </c>
      <c r="G54" t="inlineStr"/>
      <c r="H54" s="6" t="inlineStr"/>
      <c r="I54" t="inlineStr"/>
      <c r="J54" t="inlineStr"/>
      <c r="K54" t="inlineStr"/>
    </row>
    <row r="55">
      <c r="A55" s="7" t="n">
        <v>54</v>
      </c>
      <c r="B55" s="7" t="inlineStr">
        <is>
          <t>소녀시대</t>
        </is>
      </c>
      <c r="C55" s="7" t="inlineStr">
        <is>
          <t>spillover</t>
        </is>
      </c>
      <c r="D55" s="8" t="inlineStr">
        <is>
          <t>소녀시대는 미국 데뷔 싱글 'The Boys' 프로모션을 위해 2012년 1월 31일 CBS '데이빗 레터맨의 레이트 쇼(Late Show with David Letterman)'에, 2월 1일에는 'Live! with Kelly'에 출연했다. 'The Boys'는 2012년 1월 17일 미국에서 물리 음반으로 발매되며 소녀시대의 미국 내 첫 정식 음반 발매가 되었다.</t>
        </is>
      </c>
      <c r="E55" s="7" t="inlineStr"/>
      <c r="F55" s="7" t="inlineStr">
        <is>
          <t>Y</t>
        </is>
      </c>
      <c r="G55" s="7" t="inlineStr">
        <is>
          <t>CBS Late Show, Live! with Kelly 출연(미국 TV)</t>
        </is>
      </c>
      <c r="H55" s="7" t="inlineStr"/>
      <c r="I55" s="7" t="inlineStr"/>
      <c r="J55" s="7" t="inlineStr"/>
      <c r="K55" s="7" t="inlineStr"/>
    </row>
    <row r="56">
      <c r="A56" t="n">
        <v>55</v>
      </c>
      <c r="B56" t="inlineStr">
        <is>
          <t>프로미스나인</t>
        </is>
      </c>
      <c r="C56" t="inlineStr">
        <is>
          <t>spillover</t>
        </is>
      </c>
      <c r="D56" s="2" t="inlineStr">
        <is>
          <t>마리끌레르 코리아가 프로미스나인 이채영, 이나경의 화보와 인터뷰를 게재하며 정규 2집 'Glow ME' 활동, 첫 해외투어, 음악방송 1위, 앙코르 콘서트 등 최근 성과를 조명했다.</t>
        </is>
      </c>
      <c r="E56" t="inlineStr"/>
      <c r="F56" t="inlineStr">
        <is>
          <t>N</t>
        </is>
      </c>
      <c r="G56" t="inlineStr"/>
      <c r="H56" s="6" t="inlineStr"/>
      <c r="I56" t="inlineStr"/>
      <c r="J56" t="inlineStr"/>
      <c r="K56" t="inlineStr"/>
    </row>
    <row r="57">
      <c r="A57" t="n">
        <v>56</v>
      </c>
      <c r="B57" t="inlineStr">
        <is>
          <t>BLACKPINK</t>
        </is>
      </c>
      <c r="C57" t="inlineStr">
        <is>
          <t>loyalty</t>
        </is>
      </c>
      <c r="D57" s="2" t="inlineStr">
        <is>
          <t>홍콩 HK01은 블랙핑크 홍콩 카이탁(啟德) 콘서트 종료 당시 멤버들이 눈물을 흘리며 서로 껴안은 장면을 "巡演落幕成員淚灑互相緊抱"라는 제목으로 현장 보도했다.</t>
        </is>
      </c>
      <c r="E57" t="inlineStr"/>
      <c r="F57" t="inlineStr">
        <is>
          <t>N</t>
        </is>
      </c>
      <c r="G57" t="inlineStr"/>
      <c r="H57" s="6" t="inlineStr"/>
      <c r="I57" t="inlineStr"/>
      <c r="J57" t="inlineStr"/>
      <c r="K57" t="inlineStr"/>
    </row>
    <row r="58">
      <c r="A58" t="n">
        <v>57</v>
      </c>
      <c r="B58" t="inlineStr">
        <is>
          <t>빈지노</t>
        </is>
      </c>
      <c r="C58" t="inlineStr">
        <is>
          <t>spillover</t>
        </is>
      </c>
      <c r="D58" s="2" t="inlineStr">
        <is>
          <t>언더그라운드 출신 래퍼 빈지노가 소속된 1LLIONAIRE RECORDS와 2012년 발표한 데뷔 앨범 '24:26' 수록곡 'Aqua Man'을 프랑스 한국문화 블로그가 소개했다.</t>
        </is>
      </c>
      <c r="E58" t="inlineStr"/>
      <c r="F58" t="inlineStr">
        <is>
          <t>N</t>
        </is>
      </c>
      <c r="G58" t="inlineStr"/>
      <c r="H58" s="6" t="inlineStr"/>
      <c r="I58" t="inlineStr"/>
      <c r="J58" t="inlineStr"/>
      <c r="K58" t="inlineStr"/>
    </row>
    <row r="59">
      <c r="A59" t="n">
        <v>58</v>
      </c>
      <c r="B59" t="inlineStr">
        <is>
          <t>성시경</t>
        </is>
      </c>
      <c r="C59" t="inlineStr">
        <is>
          <t>spillover</t>
        </is>
      </c>
      <c r="D59" s="2" t="inlineStr">
        <is>
          <t>5월에 지인의 결혼식 축가 콘서트 관련 일정을 예고하며 팬들의 지지를 요청, 개인적 이벤트에까지 팬덤을 동원할 수 있는 파급력을 보였다</t>
        </is>
      </c>
      <c r="E59" t="inlineStr"/>
      <c r="F59" t="inlineStr">
        <is>
          <t>N</t>
        </is>
      </c>
      <c r="G59" t="inlineStr"/>
      <c r="H59" s="6" t="inlineStr"/>
      <c r="I59" t="inlineStr"/>
      <c r="J59" t="inlineStr"/>
      <c r="K59" t="inlineStr"/>
    </row>
    <row r="60">
      <c r="A60" t="n">
        <v>59</v>
      </c>
      <c r="B60" t="inlineStr">
        <is>
          <t>조용필</t>
        </is>
      </c>
      <c r="C60" t="inlineStr">
        <is>
          <t>spillover</t>
        </is>
      </c>
      <c r="D60" s="2" t="inlineStr">
        <is>
          <t>조용필은 일본 싱글 '미오 미오 미오'(1982)로 오리콘 차트 29위·26만 장 판매를, '생각지도 않았는데(Lost in Thoughts)'(1986)로는 오리콘 13위를 기록했다.</t>
        </is>
      </c>
      <c r="E60" t="inlineStr"/>
      <c r="F60" t="inlineStr">
        <is>
          <t>N</t>
        </is>
      </c>
      <c r="G60" t="inlineStr"/>
      <c r="H60" s="6" t="inlineStr"/>
      <c r="I60" t="inlineStr"/>
      <c r="J60" t="inlineStr"/>
      <c r="K60" t="inlineStr"/>
    </row>
    <row r="61">
      <c r="A61" t="n">
        <v>60</v>
      </c>
      <c r="B61" t="inlineStr">
        <is>
          <t>BLACKPINK</t>
        </is>
      </c>
      <c r="C61" t="inlineStr">
        <is>
          <t>spillover</t>
        </is>
      </c>
      <c r="D61" s="2" t="inlineStr">
        <is>
          <t>도쿄돔 공연을 포함한 'Deadline World Tour' 2026 일정이 별도로 안내되는 등 해외 대형 공연장 단위로 화제성이 이어지고 있음</t>
        </is>
      </c>
      <c r="E61" t="inlineStr"/>
      <c r="F61" t="inlineStr">
        <is>
          <t>N</t>
        </is>
      </c>
      <c r="G61" t="inlineStr"/>
      <c r="H61" s="6" t="inlineStr"/>
      <c r="I61" t="inlineStr"/>
      <c r="J61" t="inlineStr"/>
      <c r="K61" t="inlineStr"/>
    </row>
    <row r="62">
      <c r="A62" t="n">
        <v>61</v>
      </c>
      <c r="B62" t="inlineStr">
        <is>
          <t>RIIZE</t>
        </is>
      </c>
      <c r="C62" t="inlineStr">
        <is>
          <t>spillover</t>
        </is>
      </c>
      <c r="D62" s="2" t="inlineStr">
        <is>
          <t>경제매체 Exame이 'RIIZE의 롤라팔루자 출연은 K팝의 브라질 페스티벌 최초 대규모 진출'이라 평가</t>
        </is>
      </c>
      <c r="E62" t="inlineStr"/>
      <c r="F62" t="inlineStr">
        <is>
          <t>N</t>
        </is>
      </c>
      <c r="G62" t="inlineStr"/>
      <c r="H62" s="6" t="inlineStr"/>
      <c r="I62" t="inlineStr"/>
      <c r="J62" t="inlineStr"/>
      <c r="K62" t="inlineStr"/>
    </row>
    <row r="63">
      <c r="A63" t="n">
        <v>62</v>
      </c>
      <c r="B63" t="inlineStr">
        <is>
          <t>지드래곤 (G-Dragon)</t>
        </is>
      </c>
      <c r="C63" t="inlineStr">
        <is>
          <t>spillover</t>
        </is>
      </c>
      <c r="D63" s="2" t="inlineStr">
        <is>
          <t>APEC 홍보대사 관련 홍보 영상이 2025년 10월 27일 기준 조회수 1700만 회를 돌파했다</t>
        </is>
      </c>
      <c r="E63" t="inlineStr"/>
      <c r="F63" t="inlineStr">
        <is>
          <t>N</t>
        </is>
      </c>
      <c r="G63" t="inlineStr"/>
      <c r="H63" s="6" t="inlineStr"/>
      <c r="I63" t="inlineStr"/>
      <c r="J63" t="inlineStr"/>
      <c r="K63" t="inlineStr"/>
    </row>
    <row r="64">
      <c r="A64" t="n">
        <v>63</v>
      </c>
      <c r="B64" t="inlineStr">
        <is>
          <t>권은비</t>
        </is>
      </c>
      <c r="C64" t="inlineStr">
        <is>
          <t>spillover</t>
        </is>
      </c>
      <c r="D64" s="2" t="inlineStr">
        <is>
          <t>권은비가 글로벌 아이웨어 브랜드 '볼론(BOLON)'의 브랜드 앰버서더로 선정돼 'Modern Essentialism' 캠페인에 참여했다.</t>
        </is>
      </c>
      <c r="E64" t="inlineStr"/>
      <c r="F64" t="inlineStr">
        <is>
          <t>N</t>
        </is>
      </c>
      <c r="G64" t="inlineStr"/>
      <c r="H64" s="6" t="inlineStr"/>
      <c r="I64" t="inlineStr"/>
      <c r="J64" t="inlineStr"/>
      <c r="K64" t="inlineStr"/>
    </row>
    <row r="65">
      <c r="A65" t="n">
        <v>64</v>
      </c>
      <c r="B65" t="inlineStr">
        <is>
          <t>카더가든</t>
        </is>
      </c>
      <c r="C65" t="inlineStr">
        <is>
          <t>spillover</t>
        </is>
      </c>
      <c r="D65" s="2" t="inlineStr">
        <is>
          <t>카더가든이 인천 인하대학교 축제 무대에 올라 신곡 '나무'를 학생들과 함께 부르며 화제가 되었다.</t>
        </is>
      </c>
      <c r="E65" t="inlineStr"/>
      <c r="F65" t="inlineStr">
        <is>
          <t>N</t>
        </is>
      </c>
      <c r="G65" t="inlineStr"/>
      <c r="H65" s="6" t="inlineStr"/>
      <c r="I65" t="inlineStr"/>
      <c r="J65" t="inlineStr"/>
      <c r="K65" t="inlineStr"/>
    </row>
    <row r="66">
      <c r="A66" t="n">
        <v>65</v>
      </c>
      <c r="B66" t="inlineStr">
        <is>
          <t>SEVENTEEN</t>
        </is>
      </c>
      <c r="C66" t="inlineStr">
        <is>
          <t>loyalty</t>
        </is>
      </c>
      <c r="D66" s="2" t="inlineStr">
        <is>
          <t>브라질 공연 티켓 예매가 UCI를 통해 시작된다고 현지 매체 Zukka Brasil이 보도</t>
        </is>
      </c>
      <c r="E66" t="inlineStr"/>
      <c r="F66" t="inlineStr">
        <is>
          <t>N</t>
        </is>
      </c>
      <c r="G66" t="inlineStr"/>
      <c r="H66" s="6" t="inlineStr"/>
      <c r="I66" t="inlineStr"/>
      <c r="J66" t="inlineStr"/>
      <c r="K66" t="inlineStr"/>
    </row>
    <row r="67">
      <c r="A67" t="n">
        <v>66</v>
      </c>
      <c r="B67" t="inlineStr">
        <is>
          <t>ATEEZ</t>
        </is>
      </c>
      <c r="C67" t="inlineStr">
        <is>
          <t>spillover</t>
        </is>
      </c>
      <c r="D67" s="2" t="inlineStr">
        <is>
          <t>IOL(Cape Argus)이 스포티파이 데이터를 인용해, 남아공이 1위를 차지한 사하라 이남 아프리카 K-pop 스트리밍 시장에서 에이티즈(Ateez)가 아티스트 순위 8위에 올랐다고 보도했다.</t>
        </is>
      </c>
      <c r="E67" t="inlineStr"/>
      <c r="F67" t="inlineStr">
        <is>
          <t>N</t>
        </is>
      </c>
      <c r="G67" t="inlineStr"/>
      <c r="H67" s="6" t="inlineStr"/>
      <c r="I67" t="inlineStr"/>
      <c r="J67" t="inlineStr"/>
      <c r="K67" t="inlineStr"/>
    </row>
    <row r="68">
      <c r="A68" t="n">
        <v>67</v>
      </c>
      <c r="B68" t="inlineStr">
        <is>
          <t>DAY6</t>
        </is>
      </c>
      <c r="C68" t="inlineStr">
        <is>
          <t>spillover</t>
        </is>
      </c>
      <c r="D68" s="2" t="inlineStr">
        <is>
          <t>인도네시아 매체 Kompas.com은 같은 사태에서 소속사 JYP가 팬들에게 공식 사과했다고 보도해, 현지 팬덤의 대규모 반발이 국제 기획사의 대응을 이끌어낸 사례를 보여줬다</t>
        </is>
      </c>
      <c r="E68" t="inlineStr"/>
      <c r="F68" t="inlineStr">
        <is>
          <t>N</t>
        </is>
      </c>
      <c r="G68" t="inlineStr"/>
      <c r="H68" s="6" t="inlineStr"/>
      <c r="I68" t="inlineStr"/>
      <c r="J68" t="inlineStr"/>
      <c r="K68" t="inlineStr"/>
    </row>
    <row r="69">
      <c r="A69" t="n">
        <v>68</v>
      </c>
      <c r="B69" t="inlineStr">
        <is>
          <t>NewJeans</t>
        </is>
      </c>
      <c r="C69" t="inlineStr">
        <is>
          <t>spillover</t>
        </is>
      </c>
      <c r="D69" s="2" t="inlineStr">
        <is>
          <t>같은 앨범 수록곡 'Super Shy'(48위), 'ETA'(81위), 'Cool With You'(93위)가 빌보드 핫100에 동시 진입해, 한 앨범으로 3곡을 핫100에 올린 최초의 K팝 걸그룹이 됐다.</t>
        </is>
      </c>
      <c r="E69" t="inlineStr"/>
      <c r="F69" t="inlineStr">
        <is>
          <t>N</t>
        </is>
      </c>
      <c r="G69" t="inlineStr"/>
      <c r="H69" s="6" t="inlineStr"/>
      <c r="I69" t="inlineStr"/>
      <c r="J69" t="inlineStr"/>
      <c r="K69" t="inlineStr"/>
    </row>
    <row r="70">
      <c r="A70" t="n">
        <v>69</v>
      </c>
      <c r="B70" t="inlineStr">
        <is>
          <t>HOT</t>
        </is>
      </c>
      <c r="C70" t="inlineStr">
        <is>
          <t>spillover</t>
        </is>
      </c>
      <c r="D70" s="2" t="inlineStr">
        <is>
          <t>H.O.T. 멤버 토니안은 데뷔 30주년을 기념해 무료 팬미팅을 성황리에 개최했다.</t>
        </is>
      </c>
      <c r="E70" t="inlineStr"/>
      <c r="F70" t="inlineStr">
        <is>
          <t>N</t>
        </is>
      </c>
      <c r="G70" t="inlineStr"/>
      <c r="H70" s="6" t="inlineStr"/>
      <c r="I70" t="inlineStr"/>
      <c r="J70" t="inlineStr"/>
      <c r="K70" t="inlineStr"/>
    </row>
    <row r="71">
      <c r="A71" s="7" t="n">
        <v>70</v>
      </c>
      <c r="B71" s="7" t="inlineStr">
        <is>
          <t>DAY6</t>
        </is>
      </c>
      <c r="C71" s="7" t="inlineStr">
        <is>
          <t>spillover</t>
        </is>
      </c>
      <c r="D71" s="8" t="inlineStr">
        <is>
          <t>DAY6 멤버 성진은 2013년 JTBC '히든싱어2'에 출연했고, 그룹은 2016년 3월 24일 V LIVE 채널을 개설해 합주실 라이브 생중계 등 자체 영상 콘텐츠를 시작했다.</t>
        </is>
      </c>
      <c r="E71" s="7" t="inlineStr"/>
      <c r="F71" s="7" t="inlineStr">
        <is>
          <t>Y</t>
        </is>
      </c>
      <c r="G71" s="7" t="inlineStr">
        <is>
          <t>JTBC '히든싱어2' 출연, V LIVE 채널</t>
        </is>
      </c>
      <c r="H71" s="7" t="inlineStr"/>
      <c r="I71" s="7" t="inlineStr"/>
      <c r="J71" s="7" t="inlineStr"/>
      <c r="K71" s="7" t="inlineStr"/>
    </row>
    <row r="72">
      <c r="A72" t="n">
        <v>71</v>
      </c>
      <c r="B72" t="inlineStr">
        <is>
          <t>악동뮤지션</t>
        </is>
      </c>
      <c r="C72" t="inlineStr">
        <is>
          <t>spillover</t>
        </is>
      </c>
      <c r="D72" s="2" t="inlineStr">
        <is>
          <t>2026년 신보 'FLOWERING'의 타이틀곡이 국내 주요 음원차트 1위에 올랐고, 서로 다른 곡 6곡이 멜론 데일리차트 1위(그중 한 곡은 53일 연속 포함 총 60일 1위)를 기록해 신곡 발매마다 즉각적인 화제성으로 이어짐을 보여준다</t>
        </is>
      </c>
      <c r="E72" t="inlineStr"/>
      <c r="F72" t="inlineStr">
        <is>
          <t>N</t>
        </is>
      </c>
      <c r="G72" t="inlineStr"/>
      <c r="H72" s="6" t="inlineStr"/>
      <c r="I72" t="inlineStr"/>
      <c r="J72" t="inlineStr"/>
      <c r="K72" t="inlineStr"/>
    </row>
    <row r="73">
      <c r="A73" t="n">
        <v>72</v>
      </c>
      <c r="B73" t="inlineStr">
        <is>
          <t>임영웅</t>
        </is>
      </c>
      <c r="C73" t="inlineStr">
        <is>
          <t>spillover</t>
        </is>
      </c>
      <c r="D73" s="2" t="inlineStr">
        <is>
          <t>삼다수 발탁 한 달 만에 하나은행 모델로도 손흥민을 대체하며 여러 기업이 그의 광고모델 자리를 두고 경쟁하는 양상을 보였고, 이는 2026년 3~7월 스타뉴스 광고모델 브랜드평판 순위에서도 지속적으로 1위를 차지하는 것으로 이어졌다</t>
        </is>
      </c>
      <c r="E73" t="inlineStr"/>
      <c r="F73" t="inlineStr">
        <is>
          <t>N</t>
        </is>
      </c>
      <c r="G73" t="inlineStr"/>
      <c r="H73" s="6" t="inlineStr"/>
      <c r="I73" t="inlineStr"/>
      <c r="J73" t="inlineStr"/>
      <c r="K73" t="inlineStr"/>
    </row>
    <row r="74">
      <c r="A74" t="n">
        <v>73</v>
      </c>
      <c r="B74" t="inlineStr">
        <is>
          <t>SEVENTEEN</t>
        </is>
      </c>
      <c r="C74" t="inlineStr">
        <is>
          <t>loyalty</t>
        </is>
      </c>
      <c r="D74" s="2" t="inlineStr">
        <is>
          <t>준(Jun), iTravel Shenzhen(深圳文旅) 관광대사로 발탁, 고향 선전(深圳) 홍보(2024.2)</t>
        </is>
      </c>
      <c r="E74" t="inlineStr"/>
      <c r="F74" t="inlineStr">
        <is>
          <t>N</t>
        </is>
      </c>
      <c r="G74" t="inlineStr"/>
      <c r="H74" s="6" t="inlineStr"/>
      <c r="I74" t="inlineStr"/>
      <c r="J74" t="inlineStr"/>
      <c r="K74" t="inlineStr"/>
    </row>
    <row r="75">
      <c r="A75" t="n">
        <v>74</v>
      </c>
      <c r="B75" t="inlineStr">
        <is>
          <t>엄정화</t>
        </is>
      </c>
      <c r="C75" t="inlineStr">
        <is>
          <t>loyalty</t>
        </is>
      </c>
      <c r="D75" s="2" t="inlineStr">
        <is>
          <t>고려대학교 입실렌티 2023에서 엄정화가 '무대에 올라갔는데 온통 빨갛고 애들이 꽉 찼더라, 갑자기 없던 기운이 확 생겼다'며 관객들의 떼창에 울컥했다고 밝혔다.</t>
        </is>
      </c>
      <c r="E75" t="inlineStr"/>
      <c r="F75" t="inlineStr">
        <is>
          <t>N</t>
        </is>
      </c>
      <c r="G75" t="inlineStr"/>
      <c r="H75" s="6" t="inlineStr"/>
      <c r="I75" t="inlineStr"/>
      <c r="J75" t="inlineStr"/>
      <c r="K75" t="inlineStr"/>
    </row>
    <row r="76">
      <c r="A76" t="n">
        <v>75</v>
      </c>
      <c r="B76" t="inlineStr">
        <is>
          <t>카더가든</t>
        </is>
      </c>
      <c r="C76" t="inlineStr">
        <is>
          <t>loyalty</t>
        </is>
      </c>
      <c r="D76" s="2" t="inlineStr">
        <is>
          <t>2026년 단독공연 'BLUE HEART' 개최</t>
        </is>
      </c>
      <c r="E76" t="inlineStr"/>
      <c r="F76" t="inlineStr">
        <is>
          <t>N</t>
        </is>
      </c>
      <c r="G76" t="inlineStr"/>
      <c r="H76" s="6" t="inlineStr"/>
      <c r="I76" t="inlineStr"/>
      <c r="J76" t="inlineStr"/>
      <c r="K76" t="inlineStr"/>
    </row>
    <row r="77">
      <c r="A77" t="n">
        <v>76</v>
      </c>
      <c r="B77" t="inlineStr">
        <is>
          <t>RIIZE</t>
        </is>
      </c>
      <c r="C77" t="inlineStr">
        <is>
          <t>spillover</t>
        </is>
      </c>
      <c r="D77" s="2" t="inlineStr">
        <is>
          <t>RIIZE entered the US Mediabase Top 40 radio chart with "Do Your Dance"</t>
        </is>
      </c>
      <c r="E77" t="inlineStr"/>
      <c r="F77" t="inlineStr">
        <is>
          <t>N</t>
        </is>
      </c>
      <c r="G77" t="inlineStr"/>
      <c r="H77" s="6" t="inlineStr"/>
      <c r="I77" t="inlineStr"/>
      <c r="J77" t="inlineStr"/>
      <c r="K77" t="inlineStr"/>
    </row>
    <row r="78">
      <c r="A78" t="n">
        <v>77</v>
      </c>
      <c r="B78" t="inlineStr">
        <is>
          <t>NewJeans</t>
        </is>
      </c>
      <c r="C78" t="inlineStr">
        <is>
          <t>loyalty</t>
        </is>
      </c>
      <c r="D78" s="2" t="inlineStr">
        <is>
          <t>'Get Up' EP가 발매 첫 주 165만 장 판매되었다(2023년 7월).</t>
        </is>
      </c>
      <c r="E78" t="inlineStr"/>
      <c r="F78" t="inlineStr">
        <is>
          <t>N</t>
        </is>
      </c>
      <c r="G78" t="inlineStr"/>
      <c r="H78" s="6" t="inlineStr"/>
      <c r="I78" t="inlineStr"/>
      <c r="J78" t="inlineStr"/>
      <c r="K78" t="inlineStr"/>
    </row>
    <row r="79">
      <c r="A79" t="n">
        <v>78</v>
      </c>
      <c r="B79" t="inlineStr">
        <is>
          <t>(여자)아이들</t>
        </is>
      </c>
      <c r="C79" t="inlineStr">
        <is>
          <t>spillover</t>
        </is>
      </c>
      <c r="D79" s="2" t="inlineStr">
        <is>
          <t>(여자)아이들은 데뷔 후 활동 20일 만에 음악방송 1위, 음원차트 상위권, 신인상 7관왕을 차지했으며 4연속 멜론 일간/주간 차트 1위를 기록했다.</t>
        </is>
      </c>
      <c r="E79" t="inlineStr"/>
      <c r="F79" t="inlineStr">
        <is>
          <t>N</t>
        </is>
      </c>
      <c r="G79" t="inlineStr"/>
      <c r="H79" s="6" t="inlineStr"/>
      <c r="I79" t="inlineStr"/>
      <c r="J79" t="inlineStr"/>
      <c r="K79" t="inlineStr"/>
    </row>
    <row r="80">
      <c r="A80" t="n">
        <v>79</v>
      </c>
      <c r="B80" t="inlineStr">
        <is>
          <t>투어스(TWS)</t>
        </is>
      </c>
      <c r="C80" t="inlineStr">
        <is>
          <t>spillover</t>
        </is>
      </c>
      <c r="D80" s="2" t="inlineStr">
        <is>
          <t>IDN Times reported Jakarta ranks among the 'Top Cities with the most TWS listeners' on streaming platforms, despite the Indonesian capital being left off the group's 2026 tour route.</t>
        </is>
      </c>
      <c r="E80" t="inlineStr"/>
      <c r="F80" t="inlineStr">
        <is>
          <t>N</t>
        </is>
      </c>
      <c r="G80" t="inlineStr"/>
      <c r="H80" s="6" t="inlineStr"/>
      <c r="I80" t="inlineStr"/>
      <c r="J80" t="inlineStr"/>
      <c r="K80" t="inlineStr"/>
    </row>
    <row r="81">
      <c r="A81" t="n">
        <v>80</v>
      </c>
      <c r="B81" t="inlineStr">
        <is>
          <t>최예나</t>
        </is>
      </c>
      <c r="C81" t="inlineStr">
        <is>
          <t>loyalty</t>
        </is>
      </c>
      <c r="D81" s="2" t="inlineStr">
        <is>
          <t>팬클럽명은 YENA_OFFICIAL 공식 계정을 통해 정식 발표된 바 있음</t>
        </is>
      </c>
      <c r="E81" t="inlineStr"/>
      <c r="F81" t="inlineStr">
        <is>
          <t>N</t>
        </is>
      </c>
      <c r="G81" t="inlineStr"/>
      <c r="H81" s="6" t="inlineStr"/>
      <c r="I81" t="inlineStr"/>
      <c r="J81" t="inlineStr"/>
      <c r="K81" t="inlineStr"/>
    </row>
    <row r="82">
      <c r="A82" t="n">
        <v>81</v>
      </c>
      <c r="B82" t="inlineStr">
        <is>
          <t>NCT</t>
        </is>
      </c>
      <c r="C82" t="inlineStr">
        <is>
          <t>loyalty</t>
        </is>
      </c>
      <c r="D82" s="2" t="inlineStr">
        <is>
          <t>NCT 드림이 2016년 8월 24일 '졸업' 콘셉트로 데뷔한 뒤 2020년 7인 고정 체제로 전환하며 팬덤 구조를 재편했다.</t>
        </is>
      </c>
      <c r="E82" t="inlineStr"/>
      <c r="F82" t="inlineStr">
        <is>
          <t>N</t>
        </is>
      </c>
      <c r="G82" t="inlineStr"/>
      <c r="H82" s="6" t="inlineStr"/>
      <c r="I82" t="inlineStr"/>
      <c r="J82" t="inlineStr"/>
      <c r="K82" t="inlineStr"/>
    </row>
    <row r="83">
      <c r="A83" t="n">
        <v>82</v>
      </c>
      <c r="B83" t="inlineStr">
        <is>
          <t>아이유</t>
        </is>
      </c>
      <c r="C83" t="inlineStr">
        <is>
          <t>spillover</t>
        </is>
      </c>
      <c r="D83" s="2" t="inlineStr">
        <is>
          <t>튀르키예어 위키백과에 가수 아이유를 다룬 'IU (şarkıcı)' 항목이 개설되어 있으며 그녀가 작사한 곡 목록까지 별도로 정리되어 있다.</t>
        </is>
      </c>
      <c r="E83" t="inlineStr"/>
      <c r="F83" t="inlineStr">
        <is>
          <t>N</t>
        </is>
      </c>
      <c r="G83" t="inlineStr"/>
      <c r="H83" s="6" t="inlineStr"/>
      <c r="I83" t="inlineStr"/>
      <c r="J83" t="inlineStr"/>
      <c r="K83" t="inlineStr"/>
    </row>
    <row r="84">
      <c r="A84" t="n">
        <v>83</v>
      </c>
      <c r="B84" t="inlineStr">
        <is>
          <t>레드벨벳</t>
        </is>
      </c>
      <c r="C84" t="inlineStr">
        <is>
          <t>loyalty</t>
        </is>
      </c>
      <c r="D84" s="2" t="inlineStr">
        <is>
          <t>레드벨벳이 자카르타 팬콘서트를 위해 출국하는 모습을 담은 기사.</t>
        </is>
      </c>
      <c r="E84" t="inlineStr"/>
      <c r="F84" t="inlineStr">
        <is>
          <t>N</t>
        </is>
      </c>
      <c r="G84" t="inlineStr"/>
      <c r="H84" s="6" t="inlineStr"/>
      <c r="I84" t="inlineStr"/>
      <c r="J84" t="inlineStr"/>
      <c r="K84" t="inlineStr"/>
    </row>
    <row r="85">
      <c r="A85" t="n">
        <v>84</v>
      </c>
      <c r="B85" t="inlineStr">
        <is>
          <t>이문세</t>
        </is>
      </c>
      <c r="C85" t="inlineStr">
        <is>
          <t>loyalty</t>
        </is>
      </c>
      <c r="D85" s="2" t="inlineStr">
        <is>
          <t>이문세의 '씨어터 이문세 시즌4' 전국투어(22개 도시, 59회 공연)는 누적 관객 약 9만8천 명을, 이어진 아레나 투어 'The Best'는 누적 약 4만 명을 동원해 두 투어 합계 약 14만 명이 관람하며 '퍼펙트 매진 행진'을 이어갔다.</t>
        </is>
      </c>
      <c r="E85" t="inlineStr"/>
      <c r="F85" t="inlineStr">
        <is>
          <t>N</t>
        </is>
      </c>
      <c r="G85" t="inlineStr"/>
      <c r="H85" s="6" t="inlineStr"/>
      <c r="I85" t="inlineStr"/>
      <c r="J85" t="inlineStr"/>
      <c r="K85" t="inlineStr"/>
    </row>
    <row r="86">
      <c r="A86" t="n">
        <v>85</v>
      </c>
      <c r="B86" t="inlineStr">
        <is>
          <t>송가인</t>
        </is>
      </c>
      <c r="C86" t="inlineStr">
        <is>
          <t>spillover</t>
        </is>
      </c>
      <c r="D86" s="2" t="inlineStr">
        <is>
          <t>송가인은 2025년 9월 노래방(코인노래방) 기기 제조사 금영엔터테인먼트의 광고 모델로 발탁되었다.</t>
        </is>
      </c>
      <c r="E86" t="inlineStr"/>
      <c r="F86" t="inlineStr">
        <is>
          <t>N</t>
        </is>
      </c>
      <c r="G86" t="inlineStr"/>
      <c r="H86" s="6" t="inlineStr"/>
      <c r="I86" t="inlineStr"/>
      <c r="J86" t="inlineStr"/>
      <c r="K86" t="inlineStr"/>
    </row>
    <row r="87">
      <c r="A87" t="n">
        <v>86</v>
      </c>
      <c r="B87" t="inlineStr">
        <is>
          <t>빅뱅</t>
        </is>
      </c>
      <c r="C87" t="inlineStr">
        <is>
          <t>loyalty</t>
        </is>
      </c>
      <c r="D87" s="2" t="inlineStr">
        <is>
          <t>빅뱅 태양은 2020년 2월 청각장애 아동·청소년을 위해 6000만원을 기부했다.</t>
        </is>
      </c>
      <c r="E87" t="inlineStr"/>
      <c r="F87" t="inlineStr">
        <is>
          <t>N</t>
        </is>
      </c>
      <c r="G87" t="inlineStr"/>
      <c r="H87" s="6" t="inlineStr"/>
      <c r="I87" t="inlineStr"/>
      <c r="J87" t="inlineStr"/>
      <c r="K87" t="inlineStr"/>
    </row>
    <row r="88">
      <c r="A88" t="n">
        <v>87</v>
      </c>
      <c r="B88" t="inlineStr">
        <is>
          <t>성시경</t>
        </is>
      </c>
      <c r="C88" t="inlineStr">
        <is>
          <t>spillover</t>
        </is>
      </c>
      <c r="D88" s="2" t="inlineStr">
        <is>
          <t>성시경이 운영하는 막걸리 브랜드 '경탁주'가 2025년 3월 상시판매 첫날 기존 생산량 대비 두 배 이상 늘린 물량을 준비했음에도 오픈과 동시에 주문이 몰려 전량 소진됐다고 한국경제가 보도했다.</t>
        </is>
      </c>
      <c r="E88" t="inlineStr"/>
      <c r="F88" t="inlineStr">
        <is>
          <t>N</t>
        </is>
      </c>
      <c r="G88" t="inlineStr"/>
      <c r="H88" s="6" t="inlineStr"/>
      <c r="I88" t="inlineStr"/>
      <c r="J88" t="inlineStr"/>
      <c r="K88" t="inlineStr"/>
    </row>
    <row r="89">
      <c r="A89" t="n">
        <v>88</v>
      </c>
      <c r="B89" t="inlineStr">
        <is>
          <t>GOT7</t>
        </is>
      </c>
      <c r="C89" t="inlineStr">
        <is>
          <t>spillover</t>
        </is>
      </c>
      <c r="D89" s="2" t="inlineStr">
        <is>
          <t>잭슨 왕이 2025년 7월 발매한 세 번째 정규앨범 'MAGIC MAN 2'로 빌보드 200 차트 13위에 데뷔해 중국 국적 아티스트 역대 최고 빌보드 200 진입 기록을 새로 세웠다.</t>
        </is>
      </c>
      <c r="E89" t="inlineStr"/>
      <c r="F89" t="inlineStr">
        <is>
          <t>N</t>
        </is>
      </c>
      <c r="G89" t="inlineStr"/>
      <c r="H89" s="6" t="inlineStr"/>
      <c r="I89" t="inlineStr"/>
      <c r="J89" t="inlineStr"/>
      <c r="K89" t="inlineStr"/>
    </row>
    <row r="90">
      <c r="A90" t="n">
        <v>89</v>
      </c>
      <c r="B90" t="inlineStr">
        <is>
          <t>정동원</t>
        </is>
      </c>
      <c r="C90" t="inlineStr">
        <is>
          <t>loyalty</t>
        </is>
      </c>
      <c r="D90" s="2" t="inlineStr">
        <is>
          <t>2020년 멜론뮤직어워드에서 미스터트롯 톱6과 공동으로 팬 반응이 반영된 '핫트렌드상'을 수상했다.</t>
        </is>
      </c>
      <c r="E90" t="inlineStr"/>
      <c r="F90" t="inlineStr">
        <is>
          <t>N</t>
        </is>
      </c>
      <c r="G90" t="inlineStr"/>
      <c r="H90" s="6" t="inlineStr"/>
      <c r="I90" t="inlineStr"/>
      <c r="J90" t="inlineStr"/>
      <c r="K90" t="inlineStr"/>
    </row>
    <row r="91">
      <c r="A91" t="n">
        <v>90</v>
      </c>
      <c r="B91" t="inlineStr">
        <is>
          <t>동방신기</t>
        </is>
      </c>
      <c r="C91" t="inlineStr">
        <is>
          <t>loyalty</t>
        </is>
      </c>
      <c r="D91" s="2" t="inlineStr">
        <is>
          <t>태국 매체 Thairath는 2020년 1월 최강창민-유노윤호 동방신기가 데뷔 15주년을 기념해 스페셜 앨범을 발매했다고 보도해, 태국 현지 매체가 동방신기의 장기 활동 이력을 꾸준히 다뤄왔음을 보여준다</t>
        </is>
      </c>
      <c r="E91" t="inlineStr"/>
      <c r="F91" t="inlineStr">
        <is>
          <t>N</t>
        </is>
      </c>
      <c r="G91" t="inlineStr"/>
      <c r="H91" s="6" t="inlineStr"/>
      <c r="I91" t="inlineStr"/>
      <c r="J91" t="inlineStr"/>
      <c r="K91" t="inlineStr"/>
    </row>
    <row r="92">
      <c r="A92" t="n">
        <v>91</v>
      </c>
      <c r="B92" t="inlineStr">
        <is>
          <t>TWICE</t>
        </is>
      </c>
      <c r="C92" t="inlineStr">
        <is>
          <t>spillover</t>
        </is>
      </c>
      <c r="D92" s="2" t="inlineStr">
        <is>
          <t>BARKS reported a video release documenting TWICE's Tokyo Dome shows from their world tour</t>
        </is>
      </c>
      <c r="E92" t="inlineStr"/>
      <c r="F92" t="inlineStr">
        <is>
          <t>N</t>
        </is>
      </c>
      <c r="G92" t="inlineStr"/>
      <c r="H92" s="6" t="inlineStr"/>
      <c r="I92" t="inlineStr"/>
      <c r="J92" t="inlineStr"/>
      <c r="K92" t="inlineStr"/>
    </row>
    <row r="93">
      <c r="A93" t="n">
        <v>92</v>
      </c>
      <c r="B93" t="inlineStr">
        <is>
          <t>ATEEZ</t>
        </is>
      </c>
      <c r="C93" t="inlineStr">
        <is>
          <t>loyalty</t>
        </is>
      </c>
      <c r="D93" s="2" t="inlineStr">
        <is>
          <t>'2026 ATEEZ FANMEETING ATINY'S VOYAGE: TINY MYSTERY'가 7월 17~19일 사흘간 고려대학교 화정체육관에서 개최되며 마지막 회차는 온라인 생중계도 병행됐다</t>
        </is>
      </c>
      <c r="E93" t="inlineStr"/>
      <c r="F93" t="inlineStr">
        <is>
          <t>N</t>
        </is>
      </c>
      <c r="G93" t="inlineStr"/>
      <c r="H93" s="6" t="inlineStr"/>
      <c r="I93" t="inlineStr"/>
      <c r="J93" t="inlineStr"/>
      <c r="K93" t="inlineStr"/>
    </row>
    <row r="94">
      <c r="A94" t="n">
        <v>93</v>
      </c>
      <c r="B94" t="inlineStr">
        <is>
          <t>NCT</t>
        </is>
      </c>
      <c r="C94" t="inlineStr">
        <is>
          <t>spillover</t>
        </is>
      </c>
      <c r="D94" s="2" t="inlineStr">
        <is>
          <t>2026년 5월 대구 경북대학교 대학축제 라인업에 NCT WISH 출연</t>
        </is>
      </c>
      <c r="E94" t="inlineStr"/>
      <c r="F94" t="inlineStr">
        <is>
          <t>N</t>
        </is>
      </c>
      <c r="G94" t="inlineStr"/>
      <c r="H94" s="6" t="inlineStr"/>
      <c r="I94" t="inlineStr"/>
      <c r="J94" t="inlineStr"/>
      <c r="K94" t="inlineStr"/>
    </row>
    <row r="95">
      <c r="A95" t="n">
        <v>94</v>
      </c>
      <c r="B95" t="inlineStr">
        <is>
          <t>LE SSERAFIM</t>
        </is>
      </c>
      <c r="C95" t="inlineStr">
        <is>
          <t>loyalty</t>
        </is>
      </c>
      <c r="D95" s="2" t="inlineStr">
        <is>
          <t>Fanclub FEARNOT members get exclusive access to premium seats at the Tokyo Dome concert via FC-only presale tiers, reflecting structured fan-priority ticketing</t>
        </is>
      </c>
      <c r="E95" t="inlineStr"/>
      <c r="F95" t="inlineStr">
        <is>
          <t>N</t>
        </is>
      </c>
      <c r="G95" t="inlineStr"/>
      <c r="H95" s="6" t="inlineStr"/>
      <c r="I95" t="inlineStr"/>
      <c r="J95" t="inlineStr"/>
      <c r="K95" t="inlineStr"/>
    </row>
    <row r="96">
      <c r="A96" t="n">
        <v>95</v>
      </c>
      <c r="B96" t="inlineStr">
        <is>
          <t>싸이</t>
        </is>
      </c>
      <c r="C96" t="inlineStr">
        <is>
          <t>spillover</t>
        </is>
      </c>
      <c r="D96" s="2" t="inlineStr">
        <is>
          <t>iM뱅크는 2025년 4월 싸이와 함께한 티저 광고를 공개하며 '상상 그 이상이 쌓이네'라는 캠페인 문구로 인지도 확보에 나섰다.</t>
        </is>
      </c>
      <c r="E96" t="inlineStr"/>
      <c r="F96" t="inlineStr">
        <is>
          <t>N</t>
        </is>
      </c>
      <c r="G96" t="inlineStr"/>
      <c r="H96" s="6" t="inlineStr"/>
      <c r="I96" t="inlineStr"/>
      <c r="J96" t="inlineStr"/>
      <c r="K96" t="inlineStr"/>
    </row>
    <row r="97">
      <c r="A97" t="n">
        <v>96</v>
      </c>
      <c r="B97" t="inlineStr">
        <is>
          <t>잭스키스</t>
        </is>
      </c>
      <c r="C97" t="inlineStr">
        <is>
          <t>spillover</t>
        </is>
      </c>
      <c r="D97" s="2" t="inlineStr">
        <is>
          <t>젝스키스 팬덤은 재결합 이후 해외영업팀을 구성해 다국어 소셜미디어 지원 체계를 갖추고 해외 팬 소통을 확대했다.</t>
        </is>
      </c>
      <c r="E97" t="inlineStr"/>
      <c r="F97" t="inlineStr">
        <is>
          <t>N</t>
        </is>
      </c>
      <c r="G97" t="inlineStr"/>
      <c r="H97" s="6" t="inlineStr"/>
      <c r="I97" t="inlineStr"/>
      <c r="J97" t="inlineStr"/>
      <c r="K97" t="inlineStr"/>
    </row>
    <row r="98">
      <c r="A98" s="7" t="n">
        <v>97</v>
      </c>
      <c r="B98" s="7" t="inlineStr">
        <is>
          <t>레드벨벳</t>
        </is>
      </c>
      <c r="C98" s="7" t="inlineStr">
        <is>
          <t>spillover</t>
        </is>
      </c>
      <c r="D98" s="8" t="inlineStr">
        <is>
          <t>'겟잇뷰티 2019'(2019.4~12) 조이가 MC 진행</t>
        </is>
      </c>
      <c r="E98" s="7" t="inlineStr"/>
      <c r="F98" s="7" t="inlineStr">
        <is>
          <t>Y</t>
        </is>
      </c>
      <c r="G98" s="7" t="inlineStr">
        <is>
          <t>'겟잇뷰티 2019' MC</t>
        </is>
      </c>
      <c r="H98" s="7" t="inlineStr"/>
      <c r="I98" s="7" t="inlineStr"/>
      <c r="J98" s="7" t="inlineStr"/>
      <c r="K98" s="7" t="inlineStr"/>
    </row>
    <row r="99">
      <c r="A99" t="n">
        <v>98</v>
      </c>
      <c r="B99" t="inlineStr">
        <is>
          <t>STAYC</t>
        </is>
      </c>
      <c r="C99" t="inlineStr">
        <is>
          <t>spillover</t>
        </is>
      </c>
      <c r="D99" s="2" t="inlineStr">
        <is>
          <t>2023년 STAYC는 전원이 프랑크푸르트 한국문화축제(Frankfurt Korean Culture Festival)에 참여했다.</t>
        </is>
      </c>
      <c r="E99" t="inlineStr"/>
      <c r="F99" t="inlineStr">
        <is>
          <t>N</t>
        </is>
      </c>
      <c r="G99" t="inlineStr"/>
      <c r="H99" s="6" t="inlineStr"/>
      <c r="I99" t="inlineStr"/>
      <c r="J99" t="inlineStr"/>
      <c r="K99" t="inlineStr"/>
    </row>
    <row r="100">
      <c r="A100" t="n">
        <v>99</v>
      </c>
      <c r="B100" t="inlineStr">
        <is>
          <t>DAY6</t>
        </is>
      </c>
      <c r="C100" t="inlineStr">
        <is>
          <t>spillover</t>
        </is>
      </c>
      <c r="D100" s="2" t="inlineStr">
        <is>
          <t>2024년 코리아그랜드뮤직어워즈에서 첫 대상(Grand Performer Award, Best Band, Best Song) 수상</t>
        </is>
      </c>
      <c r="E100" t="inlineStr"/>
      <c r="F100" t="inlineStr">
        <is>
          <t>N</t>
        </is>
      </c>
      <c r="G100" t="inlineStr"/>
      <c r="H100" s="6" t="inlineStr"/>
      <c r="I100" t="inlineStr"/>
      <c r="J100" t="inlineStr"/>
      <c r="K100" t="inlineStr"/>
    </row>
    <row r="101">
      <c r="A101" t="n">
        <v>100</v>
      </c>
      <c r="B101" t="inlineStr">
        <is>
          <t>IKON</t>
        </is>
      </c>
      <c r="C101" t="inlineStr">
        <is>
          <t>spillover</t>
        </is>
      </c>
      <c r="D101" s="2" t="inlineStr">
        <is>
          <t>'Fourever' 2026 월드투어 12개 도시(서울 개막, 일본 2곳, 아시아 6곳, 남미 3곳) 발표</t>
        </is>
      </c>
      <c r="E101" t="inlineStr"/>
      <c r="F101" t="inlineStr">
        <is>
          <t>N</t>
        </is>
      </c>
      <c r="G101" t="inlineStr"/>
      <c r="H101" s="6" t="inlineStr"/>
      <c r="I101" t="inlineStr"/>
      <c r="J101" t="inlineStr"/>
      <c r="K101" t="inlineStr"/>
    </row>
    <row r="102">
      <c r="A102" t="n">
        <v>101</v>
      </c>
      <c r="B102" t="inlineStr">
        <is>
          <t>윤하</t>
        </is>
      </c>
      <c r="C102" t="inlineStr">
        <is>
          <t>spillover</t>
        </is>
      </c>
      <c r="D102" s="2" t="inlineStr">
        <is>
          <t>윤하는 2004년 9월 일본에서 싱글 '유비키리'로 먼저 데뷔했고, 두 번째 싱글 'ほうき星'가 오리콘 주간 차트 15위에 오르며 데뷔 아티스트로서 이례적인 히트를 기록했다.</t>
        </is>
      </c>
      <c r="E102" t="inlineStr"/>
      <c r="F102" t="inlineStr">
        <is>
          <t>N</t>
        </is>
      </c>
      <c r="G102" t="inlineStr"/>
      <c r="H102" s="6" t="inlineStr"/>
      <c r="I102" t="inlineStr"/>
      <c r="J102" t="inlineStr"/>
      <c r="K102" t="inlineStr"/>
    </row>
    <row r="103">
      <c r="A103" t="n">
        <v>102</v>
      </c>
      <c r="B103" t="inlineStr">
        <is>
          <t>레드벨벳</t>
        </is>
      </c>
      <c r="C103" t="inlineStr">
        <is>
          <t>loyalty</t>
        </is>
      </c>
      <c r="D103" s="2" t="inlineStr">
        <is>
          <t>2023년 첫 단독 마닐라 콘서트에 많은 관객이 몰렸다고 보도</t>
        </is>
      </c>
      <c r="E103" t="inlineStr"/>
      <c r="F103" t="inlineStr">
        <is>
          <t>N</t>
        </is>
      </c>
      <c r="G103" t="inlineStr"/>
      <c r="H103" s="6" t="inlineStr"/>
      <c r="I103" t="inlineStr"/>
      <c r="J103" t="inlineStr"/>
      <c r="K103" t="inlineStr"/>
    </row>
    <row r="104">
      <c r="A104" t="n">
        <v>103</v>
      </c>
      <c r="B104" t="inlineStr">
        <is>
          <t>아이유</t>
        </is>
      </c>
      <c r="C104" t="inlineStr">
        <is>
          <t>spillover</t>
        </is>
      </c>
      <c r="D104" s="2" t="inlineStr">
        <is>
          <t>제이에스티나가 2024년 봄·여름·연말 시즌에 걸쳐 아이유와 함께한 주얼리 화보를 잇달아 공개하며 2024년에도 모델 계약을 이어갔다.</t>
        </is>
      </c>
      <c r="E104" t="inlineStr"/>
      <c r="F104" t="inlineStr">
        <is>
          <t>N</t>
        </is>
      </c>
      <c r="G104" t="inlineStr"/>
      <c r="H104" s="6" t="inlineStr"/>
      <c r="I104" t="inlineStr"/>
      <c r="J104" t="inlineStr"/>
      <c r="K104" t="inlineStr"/>
    </row>
    <row r="105">
      <c r="A105" t="n">
        <v>104</v>
      </c>
      <c r="B105" t="inlineStr">
        <is>
          <t>아이오아이</t>
        </is>
      </c>
      <c r="C105" t="inlineStr">
        <is>
          <t>spillover</t>
        </is>
      </c>
      <c r="D105" s="2" t="inlineStr">
        <is>
          <t>Before their official debut announcement, the group had already secured 7 CF deals (Etude House, SK Telecom, KB Kookmin Bank, Elite uniforms, etc.) worth an estimated 1.4 billion won (March 2016)</t>
        </is>
      </c>
      <c r="E105" t="inlineStr"/>
      <c r="F105" t="inlineStr">
        <is>
          <t>N</t>
        </is>
      </c>
      <c r="G105" t="inlineStr"/>
      <c r="H105" s="6" t="inlineStr"/>
      <c r="I105" t="inlineStr"/>
      <c r="J105" t="inlineStr"/>
      <c r="K105" t="inlineStr"/>
    </row>
    <row r="106">
      <c r="A106" t="n">
        <v>105</v>
      </c>
      <c r="B106" t="inlineStr">
        <is>
          <t>aespa</t>
        </is>
      </c>
      <c r="C106" t="inlineStr">
        <is>
          <t>spillover</t>
        </is>
      </c>
      <c r="D106" s="2" t="inlineStr">
        <is>
          <t>aespa was named Nongshim's first global ambassador for Shin Ramyun, with the campaign specifically targeting the US, China, Japan, Europe and Southeast Asia markets</t>
        </is>
      </c>
      <c r="E106" t="inlineStr"/>
      <c r="F106" t="inlineStr">
        <is>
          <t>N</t>
        </is>
      </c>
      <c r="G106" t="inlineStr"/>
      <c r="H106" s="6" t="inlineStr"/>
      <c r="I106" t="inlineStr"/>
      <c r="J106" t="inlineStr"/>
      <c r="K106" t="inlineStr"/>
    </row>
    <row r="107">
      <c r="A107" t="n">
        <v>106</v>
      </c>
      <c r="B107" t="inlineStr">
        <is>
          <t>임영웅</t>
        </is>
      </c>
      <c r="C107" t="inlineStr">
        <is>
          <t>loyalty</t>
        </is>
      </c>
      <c r="D107" s="2" t="inlineStr">
        <is>
          <t>2025~2026년 전국투어 콘서트는 대구 공연에서 티켓 오픈 전부터 서버가 다운될 정도로 접속이 몰렸고, 인천을 시작으로 대구·서울·광주·대전·부산 등 매 지역에서 오픈과 동시에 초고속 전석 매진이 반복되고 있다.</t>
        </is>
      </c>
      <c r="E107" t="inlineStr"/>
      <c r="F107" t="inlineStr">
        <is>
          <t>N</t>
        </is>
      </c>
      <c r="G107" t="inlineStr"/>
      <c r="H107" s="6" t="inlineStr"/>
      <c r="I107" t="inlineStr"/>
      <c r="J107" t="inlineStr"/>
      <c r="K107" t="inlineStr"/>
    </row>
    <row r="108">
      <c r="A108" t="n">
        <v>107</v>
      </c>
      <c r="B108" t="inlineStr">
        <is>
          <t>동방신기</t>
        </is>
      </c>
      <c r="C108" t="inlineStr">
        <is>
          <t>loyalty</t>
        </is>
      </c>
      <c r="D108" s="2" t="inlineStr">
        <is>
          <t>2008년 팬클럽 카시오페아가 공식 회원 80만 명 이상으로 집계돼 당시 언론에서 '기네스북에 등재된 세계 최대 팬클럽'으로 보도됐다(이후 기네스 측은 공식 인증 근거가 없다고 반박).</t>
        </is>
      </c>
      <c r="E108" t="inlineStr"/>
      <c r="F108" t="inlineStr">
        <is>
          <t>N</t>
        </is>
      </c>
      <c r="G108" t="inlineStr"/>
      <c r="H108" s="6" t="inlineStr"/>
      <c r="I108" t="inlineStr"/>
      <c r="J108" t="inlineStr"/>
      <c r="K108" t="inlineStr"/>
    </row>
    <row r="109">
      <c r="A109" t="n">
        <v>108</v>
      </c>
      <c r="B109" t="inlineStr">
        <is>
          <t>DAY6</t>
        </is>
      </c>
      <c r="C109" t="inlineStr">
        <is>
          <t>loyalty</t>
        </is>
      </c>
      <c r="D109" s="2" t="inlineStr">
        <is>
          <t>DAY6 자카르타 콘서트 티켓 구매처 및 5월 3일 공연 일정 안내.</t>
        </is>
      </c>
      <c r="E109" t="inlineStr"/>
      <c r="F109" t="inlineStr">
        <is>
          <t>N</t>
        </is>
      </c>
      <c r="G109" t="inlineStr"/>
      <c r="H109" s="6" t="inlineStr"/>
      <c r="I109" t="inlineStr"/>
      <c r="J109" t="inlineStr"/>
      <c r="K109" t="inlineStr"/>
    </row>
    <row r="110">
      <c r="A110" t="n">
        <v>109</v>
      </c>
      <c r="B110" t="inlineStr">
        <is>
          <t>Zion.T</t>
        </is>
      </c>
      <c r="C110" t="inlineStr">
        <is>
          <t>spillover</t>
        </is>
      </c>
      <c r="D110" s="2" t="inlineStr">
        <is>
          <t>자이언티가 이끄는 레이블 스탠다드프렌즈는 2025년 8월 코엑스에서 열린 글로벌 아트페스티벌 '어반브레이크 2025'의 개막 오프닝 파티를 공동 호스트로 진행하며, 기리보이·원슈타인·소코도모 등 소속 아티스트들의 라이브 퍼포먼스와 소속 아티스트 음원 기반 AI 영상 공모전(총상금 2,000만원)을 주도했다.</t>
        </is>
      </c>
      <c r="E110" t="inlineStr"/>
      <c r="F110" t="inlineStr">
        <is>
          <t>N</t>
        </is>
      </c>
      <c r="G110" t="inlineStr"/>
      <c r="H110" s="6" t="inlineStr"/>
      <c r="I110" t="inlineStr"/>
      <c r="J110" t="inlineStr"/>
      <c r="K110" t="inlineStr"/>
    </row>
    <row r="111">
      <c r="A111" t="n">
        <v>110</v>
      </c>
      <c r="B111" t="inlineStr">
        <is>
          <t>볼빨간사춘기</t>
        </is>
      </c>
      <c r="C111" t="inlineStr">
        <is>
          <t>loyalty</t>
        </is>
      </c>
      <c r="D111" s="2" t="inlineStr">
        <is>
          <t>2016년 데뷔 후 8년 만인 2024년 10월에야 1기 공식 팬클럽 모집을 시작했으며(가입비 15,000원, 활동기간 2024.10.8~2025.11.8), 세대별 응원봉에 중앙 연동·앱 지원 기능이 추가되는 등 팬 서비스가 점진적으로 고도화되고 있다</t>
        </is>
      </c>
      <c r="E111" t="inlineStr"/>
      <c r="F111" t="inlineStr">
        <is>
          <t>N</t>
        </is>
      </c>
      <c r="G111" t="inlineStr"/>
      <c r="H111" s="6" t="inlineStr"/>
      <c r="I111" t="inlineStr"/>
      <c r="J111" t="inlineStr"/>
      <c r="K111" t="inlineStr"/>
    </row>
    <row r="112">
      <c r="A112" t="n">
        <v>111</v>
      </c>
      <c r="B112" t="inlineStr">
        <is>
          <t>god</t>
        </is>
      </c>
      <c r="C112" t="inlineStr">
        <is>
          <t>loyalty</t>
        </is>
      </c>
      <c r="D112" s="2" t="inlineStr">
        <is>
          <t>웨이보 이용자가 god의 슈퍼토픽 "#god[超话]#"에 게시물을 올려 "叔叔们好强"(삼촌들 정말 대단하다)라며 2023년 이후 K팝 아이돌 콘서트 매출 순위에서 god가 5위, "유일한 1세대 그룹"이라고 언급했고, 이 게시물은 신랑닷컴(新浪) 뉴스 코너에도 게재되었다.</t>
        </is>
      </c>
      <c r="E112" t="inlineStr"/>
      <c r="F112" t="inlineStr">
        <is>
          <t>N</t>
        </is>
      </c>
      <c r="G112" t="inlineStr"/>
      <c r="H112" s="6" t="inlineStr"/>
      <c r="I112" t="inlineStr"/>
      <c r="J112" t="inlineStr"/>
      <c r="K112" t="inlineStr"/>
    </row>
    <row r="113">
      <c r="A113" t="n">
        <v>112</v>
      </c>
      <c r="B113" t="inlineStr">
        <is>
          <t>장윤정</t>
        </is>
      </c>
      <c r="C113" t="inlineStr">
        <is>
          <t>loyalty</t>
        </is>
      </c>
      <c r="D113" s="2" t="inlineStr">
        <is>
          <t>장윤정은 2023년 2월 16일 생일을 맞아 밀알복지재단에 1억원을 기부했다.</t>
        </is>
      </c>
      <c r="E113" t="inlineStr"/>
      <c r="F113" t="inlineStr">
        <is>
          <t>N</t>
        </is>
      </c>
      <c r="G113" t="inlineStr"/>
      <c r="H113" s="6" t="inlineStr"/>
      <c r="I113" t="inlineStr"/>
      <c r="J113" t="inlineStr"/>
      <c r="K113" t="inlineStr"/>
    </row>
    <row r="114">
      <c r="A114" t="n">
        <v>113</v>
      </c>
      <c r="B114" t="inlineStr">
        <is>
          <t>god</t>
        </is>
      </c>
      <c r="C114" t="inlineStr">
        <is>
          <t>loyalty</t>
        </is>
      </c>
      <c r="D114" s="2" t="inlineStr">
        <is>
          <t>멤버 윤계상은 데뷔 25년이 지나도 티켓이 매번 매진되는 현상에 대해 "우리도 이유를 모르겠다"며 팬들의 변함없는 지지를 "축복"이라 표현함</t>
        </is>
      </c>
      <c r="E114" t="inlineStr"/>
      <c r="F114" t="inlineStr">
        <is>
          <t>N</t>
        </is>
      </c>
      <c r="G114" t="inlineStr"/>
      <c r="H114" s="6" t="inlineStr"/>
      <c r="I114" t="inlineStr"/>
      <c r="J114" t="inlineStr"/>
      <c r="K114" t="inlineStr"/>
    </row>
    <row r="115">
      <c r="A115" t="n">
        <v>114</v>
      </c>
      <c r="B115" t="inlineStr">
        <is>
          <t>백지영</t>
        </is>
      </c>
      <c r="C115" t="inlineStr">
        <is>
          <t>spillover</t>
        </is>
      </c>
      <c r="D115" s="2" t="inlineStr">
        <is>
          <t>애틀랜타 단독 콘서트 개최(2025.8)</t>
        </is>
      </c>
      <c r="E115" t="inlineStr"/>
      <c r="F115" t="inlineStr">
        <is>
          <t>N</t>
        </is>
      </c>
      <c r="G115" t="inlineStr"/>
      <c r="H115" s="6" t="inlineStr"/>
      <c r="I115" t="inlineStr"/>
      <c r="J115" t="inlineStr"/>
      <c r="K115" t="inlineStr"/>
    </row>
    <row r="116">
      <c r="A116" t="n">
        <v>115</v>
      </c>
      <c r="B116" t="inlineStr">
        <is>
          <t>빅마마</t>
        </is>
      </c>
      <c r="C116" t="inlineStr">
        <is>
          <t>spillover</t>
        </is>
      </c>
      <c r="D116" s="2" t="inlineStr">
        <is>
          <t>빅마마는 현대자동차 'i30' 1세대(2007~2011년경 판매) 광고음악(CM송)을 부른 이력이 있다.</t>
        </is>
      </c>
      <c r="E116" t="inlineStr"/>
      <c r="F116" t="inlineStr">
        <is>
          <t>N</t>
        </is>
      </c>
      <c r="G116" t="inlineStr"/>
      <c r="H116" s="6" t="inlineStr"/>
      <c r="I116" t="inlineStr"/>
      <c r="J116" t="inlineStr"/>
      <c r="K116" t="inlineStr"/>
    </row>
    <row r="117">
      <c r="A117" t="n">
        <v>116</v>
      </c>
      <c r="B117" t="inlineStr">
        <is>
          <t>이찬원</t>
        </is>
      </c>
      <c r="C117" t="inlineStr">
        <is>
          <t>loyalty</t>
        </is>
      </c>
      <c r="D117" s="2" t="inlineStr">
        <is>
          <t>이찬원 팬클럽 '찬스'는 데뷔 5주년을 기념해 약 1200만원을 기부했다.</t>
        </is>
      </c>
      <c r="E117" t="inlineStr"/>
      <c r="F117" t="inlineStr">
        <is>
          <t>N</t>
        </is>
      </c>
      <c r="G117" t="inlineStr"/>
      <c r="H117" s="6" t="inlineStr"/>
      <c r="I117" t="inlineStr"/>
      <c r="J117" t="inlineStr"/>
      <c r="K117" t="inlineStr"/>
    </row>
    <row r="118">
      <c r="A118" t="n">
        <v>117</v>
      </c>
      <c r="B118" t="inlineStr">
        <is>
          <t>IVE</t>
        </is>
      </c>
      <c r="C118" t="inlineStr">
        <is>
          <t>spillover</t>
        </is>
      </c>
      <c r="D118" s="2" t="inlineStr">
        <is>
          <t>IVE가 2022년 5월 19일 대구 소재 계명대학교 축제(싸이, (여자)아이들과 함께 출연)와 영남대학교 축제 무대에 올라 데뷔 후 첫 대학 축제 출연으로 화제를 모았다.</t>
        </is>
      </c>
      <c r="E118" t="inlineStr"/>
      <c r="F118" t="inlineStr">
        <is>
          <t>N</t>
        </is>
      </c>
      <c r="G118" t="inlineStr"/>
      <c r="H118" s="6" t="inlineStr"/>
      <c r="I118" t="inlineStr"/>
      <c r="J118" t="inlineStr"/>
      <c r="K118" t="inlineStr"/>
    </row>
    <row r="119">
      <c r="A119" t="n">
        <v>118</v>
      </c>
      <c r="B119" t="inlineStr">
        <is>
          <t>지드래곤 (G-Dragon)</t>
        </is>
      </c>
      <c r="C119" t="inlineStr">
        <is>
          <t>loyalty</t>
        </is>
      </c>
      <c r="D119" s="2" t="inlineStr">
        <is>
          <t>지드래곤 팬사이트 'Always-GD'는 2015년 11월 초록우산어린이재단에 818만 원을 기부했다.</t>
        </is>
      </c>
      <c r="E119" t="inlineStr"/>
      <c r="F119" t="inlineStr">
        <is>
          <t>N</t>
        </is>
      </c>
      <c r="G119" t="inlineStr"/>
      <c r="H119" s="6" t="inlineStr"/>
      <c r="I119" t="inlineStr"/>
      <c r="J119" t="inlineStr"/>
      <c r="K119" t="inlineStr"/>
    </row>
    <row r="120">
      <c r="A120" t="n">
        <v>119</v>
      </c>
      <c r="B120" t="inlineStr">
        <is>
          <t>잭스키스</t>
        </is>
      </c>
      <c r="C120" t="inlineStr">
        <is>
          <t>spillover</t>
        </is>
      </c>
      <c r="D120" s="2" t="inlineStr">
        <is>
          <t>OSEN은 젝스키스의 팬클럽 창단을 "1세대 부활이 시작된다"고 평하며, 이 팬덤 재조직이 1세대 아이돌 문화 전반의 부활을 상징하는 사건으로 다뤄졌다고 보도했다</t>
        </is>
      </c>
      <c r="E120" t="inlineStr"/>
      <c r="F120" t="inlineStr">
        <is>
          <t>N</t>
        </is>
      </c>
      <c r="G120" t="inlineStr"/>
      <c r="H120" s="6" t="inlineStr"/>
      <c r="I120" t="inlineStr"/>
      <c r="J120" t="inlineStr"/>
      <c r="K120" t="inlineStr"/>
    </row>
    <row r="121">
      <c r="A121" t="n">
        <v>120</v>
      </c>
      <c r="B121" t="inlineStr">
        <is>
          <t>(여자)아이들</t>
        </is>
      </c>
      <c r="C121" t="inlineStr">
        <is>
          <t>spillover</t>
        </is>
      </c>
      <c r="D121" s="2" t="inlineStr">
        <is>
          <t>(여자)아이들이 2024년 멜론뮤직어워드(MMA) 앨범 부문 대상을 수상했다</t>
        </is>
      </c>
      <c r="E121" t="inlineStr"/>
      <c r="F121" t="inlineStr">
        <is>
          <t>N</t>
        </is>
      </c>
      <c r="G121" t="inlineStr"/>
      <c r="H121" s="6" t="inlineStr"/>
      <c r="I121" t="inlineStr"/>
      <c r="J121" t="inlineStr"/>
      <c r="K121" t="inlineStr"/>
    </row>
    <row r="122">
      <c r="A122" t="n">
        <v>121</v>
      </c>
      <c r="B122" t="inlineStr">
        <is>
          <t>GOT7</t>
        </is>
      </c>
      <c r="C122" t="inlineStr">
        <is>
          <t>loyalty</t>
        </is>
      </c>
      <c r="D122" s="2" t="inlineStr">
        <is>
          <t>갓세븐은 JYP와의 전속계약이 끝난 뒤에도 그룹명과 상표권을 멤버들이 직접 보유했으며, 2025년 1월 카카오엔터테인먼트와 손잡고 미니앨범 'Winter Heptagon'으로 컴백했다.</t>
        </is>
      </c>
      <c r="E122" t="inlineStr"/>
      <c r="F122" t="inlineStr">
        <is>
          <t>N</t>
        </is>
      </c>
      <c r="G122" t="inlineStr"/>
      <c r="H122" s="6" t="inlineStr"/>
      <c r="I122" t="inlineStr"/>
      <c r="J122" t="inlineStr"/>
      <c r="K122" t="inlineStr"/>
    </row>
    <row r="123">
      <c r="A123" t="n">
        <v>122</v>
      </c>
      <c r="B123" t="inlineStr">
        <is>
          <t>RIIZE</t>
        </is>
      </c>
      <c r="C123" t="inlineStr">
        <is>
          <t>spillover</t>
        </is>
      </c>
      <c r="D123" s="2" t="inlineStr">
        <is>
          <t>나탈리(natalie.mu)가 라이즈의 첫 도쿄돔 공연이 비하인드 영상과 함께 영상화되어 발매된다고 보도했다</t>
        </is>
      </c>
      <c r="E123" t="inlineStr"/>
      <c r="F123" t="inlineStr">
        <is>
          <t>N</t>
        </is>
      </c>
      <c r="G123" t="inlineStr"/>
      <c r="H123" s="6" t="inlineStr"/>
      <c r="I123" t="inlineStr"/>
      <c r="J123" t="inlineStr"/>
      <c r="K123" t="inlineStr"/>
    </row>
    <row r="124">
      <c r="A124" t="n">
        <v>123</v>
      </c>
      <c r="B124" t="inlineStr">
        <is>
          <t>BABYMONSTER</t>
        </is>
      </c>
      <c r="C124" t="inlineStr">
        <is>
          <t>loyalty</t>
        </is>
      </c>
      <c r="D124" s="2" t="inlineStr">
        <is>
          <t>"BABYMONSTER演唱會2027香港｜門票優先/公售攻略+購票連結+座位表" (홍콩 콘서트 티켓 예매/매진 관련)</t>
        </is>
      </c>
      <c r="E124" t="inlineStr"/>
      <c r="F124" t="inlineStr">
        <is>
          <t>N</t>
        </is>
      </c>
      <c r="G124" t="inlineStr"/>
      <c r="H124" s="6" t="inlineStr"/>
      <c r="I124" t="inlineStr"/>
      <c r="J124" t="inlineStr"/>
      <c r="K124" t="inlineStr"/>
    </row>
    <row r="125">
      <c r="A125" t="n">
        <v>124</v>
      </c>
      <c r="B125" t="inlineStr">
        <is>
          <t>엔믹스</t>
        </is>
      </c>
      <c r="C125" t="inlineStr">
        <is>
          <t>spillover</t>
        </is>
      </c>
      <c r="D125" s="2" t="inlineStr">
        <is>
          <t>글로벌 메이크업 브랜드 메이크업포에버가 엔믹스를 브랜드의 K-팝 아이돌 글로벌 앰버서더로 발탁했다(2026년 9월).</t>
        </is>
      </c>
      <c r="E125" t="inlineStr"/>
      <c r="F125" t="inlineStr">
        <is>
          <t>N</t>
        </is>
      </c>
      <c r="G125" t="inlineStr"/>
      <c r="H125" s="6" t="inlineStr"/>
      <c r="I125" t="inlineStr"/>
      <c r="J125" t="inlineStr"/>
      <c r="K125" t="inlineStr"/>
    </row>
    <row r="126">
      <c r="A126" s="7" t="n">
        <v>125</v>
      </c>
      <c r="B126" s="7" t="inlineStr">
        <is>
          <t>박정현</t>
        </is>
      </c>
      <c r="C126" s="7" t="inlineStr">
        <is>
          <t>spillover</t>
        </is>
      </c>
      <c r="D126" s="8" t="inlineStr">
        <is>
          <t>박정현(Lena Park)은 유니버설 시그마(Universal Sigma) 레이블 소속으로 2004~2005년 일본 Inter-FM 라디오와 음악 페스티벌에 출연했고, 한일 우정의 해 기념 콘서트 무대에 올랐으며 일본 그룹 CHEMISTRY 등과 협업했다.</t>
        </is>
      </c>
      <c r="E126" s="7" t="inlineStr">
        <is>
          <t>라디오</t>
        </is>
      </c>
      <c r="F126" s="7" t="inlineStr">
        <is>
          <t>Y</t>
        </is>
      </c>
      <c r="G126" s="7" t="inlineStr">
        <is>
          <t>Inter-FM 라디오 출연</t>
        </is>
      </c>
      <c r="H126" s="7" t="inlineStr"/>
      <c r="I126" s="7" t="inlineStr"/>
      <c r="J126" s="7" t="inlineStr"/>
      <c r="K126" s="7" t="inlineStr"/>
    </row>
    <row r="127">
      <c r="A127" t="n">
        <v>126</v>
      </c>
      <c r="B127" t="inlineStr">
        <is>
          <t>aespa</t>
        </is>
      </c>
      <c r="C127" t="inlineStr">
        <is>
          <t>loyalty</t>
        </is>
      </c>
      <c r="D127" s="2" t="inlineStr">
        <is>
          <t>"Girls" (2022) became the first girl-group album to sell over 1 million copies in a single week (1,645,255 copies on monthly chart), and "My World" (2023) sold 2,011,388 copies as a "double million-seller," showing strong repeat purchase behavior</t>
        </is>
      </c>
      <c r="E127" t="inlineStr"/>
      <c r="F127" t="inlineStr">
        <is>
          <t>N</t>
        </is>
      </c>
      <c r="G127" t="inlineStr"/>
      <c r="H127" s="6" t="inlineStr"/>
      <c r="I127" t="inlineStr"/>
      <c r="J127" t="inlineStr"/>
      <c r="K127" t="inlineStr"/>
    </row>
    <row r="128">
      <c r="A128" s="7" t="n">
        <v>127</v>
      </c>
      <c r="B128" s="7" t="inlineStr">
        <is>
          <t>나훈아</t>
        </is>
      </c>
      <c r="C128" s="7" t="inlineStr">
        <is>
          <t>spillover</t>
        </is>
      </c>
      <c r="D128" s="8" t="inlineStr">
        <is>
          <t>나훈아의 2020년 9월 30일 KBS2 '2020 한가위 대기획 대한민국 어게인 나훈아'는 15년 만의 방송 출연으로, 실시간 시청률 41.44%, 올레TV 점유율 70% 이상을 기록했다.</t>
        </is>
      </c>
      <c r="E128" s="7" t="inlineStr">
        <is>
          <t>방송 출연</t>
        </is>
      </c>
      <c r="F128" s="7" t="inlineStr">
        <is>
          <t>Y</t>
        </is>
      </c>
      <c r="G128" s="7" t="inlineStr">
        <is>
          <t>KBS2 특집 방송 출연·시청률</t>
        </is>
      </c>
      <c r="H128" s="7" t="inlineStr"/>
      <c r="I128" s="7" t="inlineStr"/>
      <c r="J128" s="7" t="inlineStr"/>
      <c r="K128" s="7" t="inlineStr"/>
    </row>
    <row r="129">
      <c r="A129" t="n">
        <v>128</v>
      </c>
      <c r="B129" t="inlineStr">
        <is>
          <t>NewJeans</t>
        </is>
      </c>
      <c r="C129" t="inlineStr">
        <is>
          <t>spillover</t>
        </is>
      </c>
      <c r="D129" s="2" t="inlineStr">
        <is>
          <t>뉴진스 해린이 2025년 11월 어도어 복귀 후 첫 개인 활동으로 '마리끌레르 코리아' 9월호 표지를 크리스챤 디올 뷰티와 함께 촬영해 2026년 8월 14일 공개했다. 파리의 오래된 정원을 배경으로 촬영됐으며, 잡지는 '사랑스러움과 자신감, 우아함과 자유로움이 공존하는 얼굴'이라고 소개했다.</t>
        </is>
      </c>
      <c r="E129" t="inlineStr"/>
      <c r="F129" t="inlineStr">
        <is>
          <t>N</t>
        </is>
      </c>
      <c r="G129" t="inlineStr"/>
      <c r="H129" s="6" t="inlineStr"/>
      <c r="I129" t="inlineStr"/>
      <c r="J129" t="inlineStr"/>
      <c r="K129" t="inlineStr"/>
    </row>
    <row r="130">
      <c r="A130" t="n">
        <v>129</v>
      </c>
      <c r="B130" t="inlineStr">
        <is>
          <t>빅마마</t>
        </is>
      </c>
      <c r="C130" t="inlineStr">
        <is>
          <t>spillover</t>
        </is>
      </c>
      <c r="D130" s="2" t="inlineStr">
        <is>
          <t>멤버 전원이 실용음악과 교수로 활동해 '교수돌'이라는 별칭으로 화제를 모았다</t>
        </is>
      </c>
      <c r="E130" t="inlineStr"/>
      <c r="F130" t="inlineStr">
        <is>
          <t>N</t>
        </is>
      </c>
      <c r="G130" t="inlineStr"/>
      <c r="H130" s="6" t="inlineStr"/>
      <c r="I130" t="inlineStr"/>
      <c r="J130" t="inlineStr"/>
      <c r="K130" t="inlineStr"/>
    </row>
    <row r="131">
      <c r="A131" t="n">
        <v>130</v>
      </c>
      <c r="B131" t="inlineStr">
        <is>
          <t>BTS</t>
        </is>
      </c>
      <c r="C131" t="inlineStr">
        <is>
          <t>spillover</t>
        </is>
      </c>
      <c r="D131" s="2" t="inlineStr">
        <is>
          <t>BTS sold out 41 North America and Europe shows for their Arirang World Tour</t>
        </is>
      </c>
      <c r="E131" t="inlineStr"/>
      <c r="F131" t="inlineStr">
        <is>
          <t>N</t>
        </is>
      </c>
      <c r="G131" t="inlineStr"/>
      <c r="H131" s="6" t="inlineStr"/>
      <c r="I131" t="inlineStr"/>
      <c r="J131" t="inlineStr"/>
      <c r="K131" t="inlineStr"/>
    </row>
    <row r="132">
      <c r="A132" t="n">
        <v>131</v>
      </c>
      <c r="B132" t="inlineStr">
        <is>
          <t>볼빨간사춘기</t>
        </is>
      </c>
      <c r="C132" t="inlineStr">
        <is>
          <t>loyalty</t>
        </is>
      </c>
      <c r="D132" s="2" t="inlineStr">
        <is>
          <t>공식 팬덤명은 '러볼리', 응원봉 명칭은 '나만봉'이다</t>
        </is>
      </c>
      <c r="E132" t="inlineStr"/>
      <c r="F132" t="inlineStr">
        <is>
          <t>N</t>
        </is>
      </c>
      <c r="G132" t="inlineStr"/>
      <c r="H132" s="6" t="inlineStr"/>
      <c r="I132" t="inlineStr"/>
      <c r="J132" t="inlineStr"/>
      <c r="K132" t="inlineStr"/>
    </row>
    <row r="133">
      <c r="A133" s="7" t="n">
        <v>132</v>
      </c>
      <c r="B133" s="7" t="inlineStr">
        <is>
          <t>프로미스나인</t>
        </is>
      </c>
      <c r="C133" s="7" t="inlineStr">
        <is>
          <t>loyalty</t>
        </is>
      </c>
      <c r="D133" s="8" t="inlineStr">
        <is>
          <t>서바이벌 프로그램 '아이돌학교'로 데뷔한 이후 2021년 9월 첫 음악방송 1위를 달성하며 오랜 무명기를 딛고 팬덤과 함께 성장했다.</t>
        </is>
      </c>
      <c r="E133" s="7" t="inlineStr"/>
      <c r="F133" s="7" t="inlineStr">
        <is>
          <t>Y</t>
        </is>
      </c>
      <c r="G133" s="7" t="inlineStr">
        <is>
          <t>서바이벌 프로그램 '아이돌학교'</t>
        </is>
      </c>
      <c r="H133" s="7" t="inlineStr"/>
      <c r="I133" s="7" t="inlineStr"/>
      <c r="J133" s="7" t="inlineStr"/>
      <c r="K133" s="7" t="inlineStr"/>
    </row>
    <row r="134">
      <c r="A134" t="n">
        <v>133</v>
      </c>
      <c r="B134" t="inlineStr">
        <is>
          <t>거미</t>
        </is>
      </c>
      <c r="C134" t="inlineStr">
        <is>
          <t>spillover</t>
        </is>
      </c>
      <c r="D134" s="2" t="inlineStr">
        <is>
          <t>거미(Gummy)는 2016년 4월 29일 일본 도쿄 시부야의 Mt.RAINIER HALL에서 1부·2부 두 차례 단독 콘서트를 열었으며, 티켓은 세금 포함 7,800엔에 전석 지정으로 판매됐다.</t>
        </is>
      </c>
      <c r="E134" t="inlineStr"/>
      <c r="F134" t="inlineStr">
        <is>
          <t>N</t>
        </is>
      </c>
      <c r="G134" t="inlineStr"/>
      <c r="H134" s="6" t="inlineStr"/>
      <c r="I134" t="inlineStr"/>
      <c r="J134" t="inlineStr"/>
      <c r="K134" t="inlineStr"/>
    </row>
    <row r="135">
      <c r="A135" t="n">
        <v>134</v>
      </c>
      <c r="B135" t="inlineStr">
        <is>
          <t>FTISLAND</t>
        </is>
      </c>
      <c r="C135" t="inlineStr">
        <is>
          <t>loyalty</t>
        </is>
      </c>
      <c r="D135" s="2" t="inlineStr">
        <is>
          <t>대만 매체 ETtoday는 FTISLAND의 가오슝 공연에서 이홍기가 노래 도중 눈물을 흘리며 팀을 지키겠다고 약속했고, 현장 팬들도 함께 눈물을 보였다고 보도했다.</t>
        </is>
      </c>
      <c r="E135" t="inlineStr"/>
      <c r="F135" t="inlineStr">
        <is>
          <t>N</t>
        </is>
      </c>
      <c r="G135" t="inlineStr"/>
      <c r="H135" s="6" t="inlineStr"/>
      <c r="I135" t="inlineStr"/>
      <c r="J135" t="inlineStr"/>
      <c r="K135" t="inlineStr"/>
    </row>
    <row r="136">
      <c r="A136" t="n">
        <v>135</v>
      </c>
      <c r="B136" t="inlineStr">
        <is>
          <t>아이유</t>
        </is>
      </c>
      <c r="C136" t="inlineStr">
        <is>
          <t>spillover</t>
        </is>
      </c>
      <c r="D136" s="2" t="inlineStr">
        <is>
          <t>우리금융그룹이 아이유와의 광고모델 계약을 2년 더 연장했으며, 2024년 3월 코리아리서치 조사에서 아이유가 금융그룹 모델 적합도·선호도 1위를 기록했다고 밝혔다(2024년 4월).</t>
        </is>
      </c>
      <c r="E136" t="inlineStr"/>
      <c r="F136" t="inlineStr">
        <is>
          <t>N</t>
        </is>
      </c>
      <c r="G136" t="inlineStr"/>
      <c r="H136" s="6" t="inlineStr"/>
      <c r="I136" t="inlineStr"/>
      <c r="J136" t="inlineStr"/>
      <c r="K136" t="inlineStr"/>
    </row>
    <row r="137">
      <c r="A137" t="n">
        <v>136</v>
      </c>
      <c r="B137" t="inlineStr">
        <is>
          <t>이찬원</t>
        </is>
      </c>
      <c r="C137" t="inlineStr">
        <is>
          <t>spillover</t>
        </is>
      </c>
      <c r="D137" s="2" t="inlineStr">
        <is>
          <t>동아제약이 65년 전통 감기약 브랜드 '판피린'의 출시 이후 첫 번째 남성 전속모델로 이찬원을 발탁해 2026년 1월 27일 '엔딩' 편 광고 캠페인을 공개했다.</t>
        </is>
      </c>
      <c r="E137" t="inlineStr"/>
      <c r="F137" t="inlineStr">
        <is>
          <t>N</t>
        </is>
      </c>
      <c r="G137" t="inlineStr"/>
      <c r="H137" s="6" t="inlineStr"/>
      <c r="I137" t="inlineStr"/>
      <c r="J137" t="inlineStr"/>
      <c r="K137" t="inlineStr"/>
    </row>
    <row r="138">
      <c r="A138" t="n">
        <v>137</v>
      </c>
      <c r="B138" t="inlineStr">
        <is>
          <t>다이나믹듀오</t>
        </is>
      </c>
      <c r="C138" t="inlineStr">
        <is>
          <t>spillover</t>
        </is>
      </c>
      <c r="D138" s="2" t="inlineStr">
        <is>
          <t>다이나믹듀오는 2013년 7월 11~13일 "BAAAM"으로 엠카운트다운·뮤직뱅크·음악중심 등 주요 음악방송에서 데뷔 14년 만에 첫 음악방송 1위 및 3사 스윕을 달성했다</t>
        </is>
      </c>
      <c r="E138" t="inlineStr"/>
      <c r="F138" t="inlineStr">
        <is>
          <t>N</t>
        </is>
      </c>
      <c r="G138" t="inlineStr"/>
      <c r="H138" s="6" t="inlineStr"/>
      <c r="I138" t="inlineStr"/>
      <c r="J138" t="inlineStr"/>
      <c r="K138" t="inlineStr"/>
    </row>
    <row r="139">
      <c r="A139" t="n">
        <v>138</v>
      </c>
      <c r="B139" t="inlineStr">
        <is>
          <t>김재중</t>
        </is>
      </c>
      <c r="C139" t="inlineStr">
        <is>
          <t>loyalty</t>
        </is>
      </c>
      <c r="D139" s="2" t="inlineStr">
        <is>
          <t>김재중이 2026년 8월 29일부터 30일까지 서울 KBS 아레나에서 단독 콘서트 'THE WAVE'를 개최했으며, 8월 31일 텐아시아 보도에 따르면 팬들의 성원 덕분에 성공적으로 컴백 활동을 마쳤다고 밝혔다.</t>
        </is>
      </c>
      <c r="E139" t="inlineStr"/>
      <c r="F139" t="inlineStr">
        <is>
          <t>N</t>
        </is>
      </c>
      <c r="G139" t="inlineStr"/>
      <c r="H139" s="6" t="inlineStr"/>
      <c r="I139" t="inlineStr"/>
      <c r="J139" t="inlineStr"/>
      <c r="K139" t="inlineStr"/>
    </row>
    <row r="140">
      <c r="A140" t="n">
        <v>139</v>
      </c>
      <c r="B140" t="inlineStr">
        <is>
          <t>BABYMONSTER</t>
        </is>
      </c>
      <c r="C140" t="inlineStr">
        <is>
          <t>spillover</t>
        </is>
      </c>
      <c r="D140" s="2" t="inlineStr">
        <is>
          <t>베이비몬스터의 첫 정규앨범 'Drip'은 데뷔 8개월 만에 미국 빌보드 200 차트에 149위로 진입했으며, 발매 당일 14개 국가/지역 아이튠즈 앨범 차트 1위, 아이튠즈 월드와이드 앨범 차트 2위를 기록했다</t>
        </is>
      </c>
      <c r="E140" t="inlineStr"/>
      <c r="F140" t="inlineStr">
        <is>
          <t>N</t>
        </is>
      </c>
      <c r="G140" t="inlineStr"/>
      <c r="H140" s="6" t="inlineStr"/>
      <c r="I140" t="inlineStr"/>
      <c r="J140" t="inlineStr"/>
      <c r="K140" t="inlineStr"/>
    </row>
    <row r="141">
      <c r="A141" t="n">
        <v>140</v>
      </c>
      <c r="B141" t="inlineStr">
        <is>
          <t>김동률</t>
        </is>
      </c>
      <c r="C141" t="inlineStr">
        <is>
          <t>loyalty</t>
        </is>
      </c>
      <c r="D141" s="2" t="inlineStr">
        <is>
          <t>2018년 미니앨범 '답장'은 발매와 동시에 7개 주요 음악 플랫폼에서 모두 1위를 차지하는 '올킬'을 달성했다.</t>
        </is>
      </c>
      <c r="E141" t="inlineStr"/>
      <c r="F141" t="inlineStr">
        <is>
          <t>N</t>
        </is>
      </c>
      <c r="G141" t="inlineStr"/>
      <c r="H141" s="6" t="inlineStr"/>
      <c r="I141" t="inlineStr"/>
      <c r="J141" t="inlineStr"/>
      <c r="K141" t="inlineStr"/>
    </row>
    <row r="142">
      <c r="A142" t="n">
        <v>141</v>
      </c>
      <c r="B142" t="inlineStr">
        <is>
          <t>아이오아이</t>
        </is>
      </c>
      <c r="C142" t="inlineStr">
        <is>
          <t>loyalty</t>
        </is>
      </c>
      <c r="D142" s="2" t="inlineStr">
        <is>
          <t>김세정이 2026년 서울·타이베이·마닐라 등을 도는 개인 글로벌 팬콘서트 투어 '2026 KIM SEJEONG FAN CONCERT &lt;Tenth Letter&gt;'를 진행하며 해체된 아이오아이와 별개로 개인 팬덤과의 접점을 이어가고 있다.</t>
        </is>
      </c>
      <c r="E142" t="inlineStr"/>
      <c r="F142" t="inlineStr">
        <is>
          <t>N</t>
        </is>
      </c>
      <c r="G142" t="inlineStr"/>
      <c r="H142" s="6" t="inlineStr"/>
      <c r="I142" t="inlineStr"/>
      <c r="J142" t="inlineStr"/>
      <c r="K142" t="inlineStr"/>
    </row>
    <row r="143">
      <c r="A143" t="n">
        <v>142</v>
      </c>
      <c r="B143" t="inlineStr">
        <is>
          <t>TWICE</t>
        </is>
      </c>
      <c r="C143" t="inlineStr">
        <is>
          <t>loyalty</t>
        </is>
      </c>
      <c r="D143" s="2" t="inlineStr">
        <is>
          <t>2022년 북미 아레나 투어 7개 공연에서 10만 명 이상을 동원했다</t>
        </is>
      </c>
      <c r="E143" t="inlineStr"/>
      <c r="F143" t="inlineStr">
        <is>
          <t>N</t>
        </is>
      </c>
      <c r="G143" t="inlineStr"/>
      <c r="H143" s="6" t="inlineStr"/>
      <c r="I143" t="inlineStr"/>
      <c r="J143" t="inlineStr"/>
      <c r="K143" t="inlineStr"/>
    </row>
    <row r="144">
      <c r="A144" t="n">
        <v>143</v>
      </c>
      <c r="B144" t="inlineStr">
        <is>
          <t>조용필</t>
        </is>
      </c>
      <c r="C144" t="inlineStr">
        <is>
          <t>spillover</t>
        </is>
      </c>
      <c r="D144" s="2" t="inlineStr">
        <is>
          <t>조용필 &amp; 위대한탄생의 '2025-26년 전국투어 콘서트'가 서울·대구 등 전국 순회로 편성되어 인터파크를 통해 공식 판매 중임이 확인됨 — 베테랑 가수의 대형 전국 투어가 여전히 상업적으로 성립하고 있음을 보여주는 정황</t>
        </is>
      </c>
      <c r="E144" t="inlineStr"/>
      <c r="F144" t="inlineStr">
        <is>
          <t>N</t>
        </is>
      </c>
      <c r="G144" t="inlineStr"/>
      <c r="H144" s="6" t="inlineStr"/>
      <c r="I144" t="inlineStr"/>
      <c r="J144" t="inlineStr"/>
      <c r="K144" t="inlineStr"/>
    </row>
    <row r="145">
      <c r="A145" t="n">
        <v>144</v>
      </c>
      <c r="B145" t="inlineStr">
        <is>
          <t>임영웅</t>
        </is>
      </c>
      <c r="C145" t="inlineStr">
        <is>
          <t>spillover</t>
        </is>
      </c>
      <c r="D145" s="2" t="inlineStr">
        <is>
          <t>Ranked top 2 in advertising-model brand reputation rankings in May 2026</t>
        </is>
      </c>
      <c r="E145" t="inlineStr"/>
      <c r="F145" t="inlineStr">
        <is>
          <t>N</t>
        </is>
      </c>
      <c r="G145" t="inlineStr"/>
      <c r="H145" s="6" t="inlineStr"/>
      <c r="I145" t="inlineStr"/>
      <c r="J145" t="inlineStr"/>
      <c r="K145" t="inlineStr"/>
    </row>
    <row r="146">
      <c r="A146" s="7" t="n">
        <v>145</v>
      </c>
      <c r="B146" s="7" t="inlineStr">
        <is>
          <t>박정현</t>
        </is>
      </c>
      <c r="C146" s="7" t="inlineStr">
        <is>
          <t>spillover</t>
        </is>
      </c>
      <c r="D146" s="8" t="inlineStr">
        <is>
          <t>'나는가수다' 활동 중 주목도(화제성) 부문에서 1위를 기록</t>
        </is>
      </c>
      <c r="E146" s="7" t="inlineStr"/>
      <c r="F146" s="7" t="inlineStr">
        <is>
          <t>Y</t>
        </is>
      </c>
      <c r="G146" s="7" t="inlineStr">
        <is>
          <t>'나는가수다' 활동</t>
        </is>
      </c>
      <c r="H146" s="7" t="inlineStr"/>
      <c r="I146" s="7" t="inlineStr"/>
      <c r="J146" s="7" t="inlineStr"/>
      <c r="K146" s="7" t="inlineStr"/>
    </row>
    <row r="147">
      <c r="A147" t="n">
        <v>146</v>
      </c>
      <c r="B147" t="inlineStr">
        <is>
          <t>10CM</t>
        </is>
      </c>
      <c r="C147" t="inlineStr">
        <is>
          <t>spillover</t>
        </is>
      </c>
      <c r="D147" s="2" t="inlineStr">
        <is>
          <t>2026년 아시아 투어 'To 10CM: Chapter 1'을 통해 서울 공연을 열고 해외 팬을 겨냥한 공연 시장 확장에 나섰다.</t>
        </is>
      </c>
      <c r="E147" t="inlineStr"/>
      <c r="F147" t="inlineStr">
        <is>
          <t>N</t>
        </is>
      </c>
      <c r="G147" t="inlineStr"/>
      <c r="H147" s="6" t="inlineStr"/>
      <c r="I147" t="inlineStr"/>
      <c r="J147" t="inlineStr"/>
      <c r="K147" t="inlineStr"/>
    </row>
    <row r="148">
      <c r="A148" t="n">
        <v>147</v>
      </c>
      <c r="B148" t="inlineStr">
        <is>
          <t>싸이</t>
        </is>
      </c>
      <c r="C148" t="inlineStr">
        <is>
          <t>loyalty</t>
        </is>
      </c>
      <c r="D148" s="2" t="inlineStr">
        <is>
          <t>싸이 흠뻑쇼 2026 투어가 6월 27일 의정부를 시작으로 대구·인천·서울대공원·원주·수원·광주·부산·대전 등 9개 도시에서 총 14회 공연으로 확대 개최되며 매년 여름 전국 단위로 팬을 끌어모으는 정례 흥행 행사로 자리잡음</t>
        </is>
      </c>
      <c r="E148" t="inlineStr"/>
      <c r="F148" t="inlineStr">
        <is>
          <t>N</t>
        </is>
      </c>
      <c r="G148" t="inlineStr"/>
      <c r="H148" s="6" t="inlineStr"/>
      <c r="I148" t="inlineStr"/>
      <c r="J148" t="inlineStr"/>
      <c r="K148" t="inlineStr"/>
    </row>
    <row r="149">
      <c r="A149" t="n">
        <v>148</v>
      </c>
      <c r="B149" t="inlineStr">
        <is>
          <t>백지영</t>
        </is>
      </c>
      <c r="C149" t="inlineStr">
        <is>
          <t>spillover</t>
        </is>
      </c>
      <c r="D149" s="2" t="inlineStr">
        <is>
          <t>호치민(베트남) 단독 콘서트 성황리 개최, 교민·현지 팬 환호</t>
        </is>
      </c>
      <c r="E149" t="inlineStr"/>
      <c r="F149" t="inlineStr">
        <is>
          <t>N</t>
        </is>
      </c>
      <c r="G149" t="inlineStr"/>
      <c r="H149" s="6" t="inlineStr"/>
      <c r="I149" t="inlineStr"/>
      <c r="J149" t="inlineStr"/>
      <c r="K149" t="inlineStr"/>
    </row>
    <row r="150">
      <c r="A150" s="7" t="n">
        <v>149</v>
      </c>
      <c r="B150" s="7" t="inlineStr">
        <is>
          <t>소녀시대</t>
        </is>
      </c>
      <c r="C150" s="7" t="inlineStr">
        <is>
          <t>spillover</t>
        </is>
      </c>
      <c r="D150" s="8" t="inlineStr">
        <is>
          <t>少女時代が5年ぶりに全員集結、デビュー15周年記念バラエティ番組で</t>
        </is>
      </c>
      <c r="E150" s="7" t="inlineStr"/>
      <c r="F150" s="7" t="inlineStr">
        <is>
          <t>Y</t>
        </is>
      </c>
      <c r="G150" s="7" t="inlineStr">
        <is>
          <t>バラエティ番組(일본어 예능)</t>
        </is>
      </c>
      <c r="H150" s="7" t="inlineStr"/>
      <c r="I150" s="7" t="inlineStr"/>
      <c r="J150" s="7" t="inlineStr"/>
      <c r="K150" s="7" t="inlineStr"/>
    </row>
    <row r="151">
      <c r="A151" t="n">
        <v>150</v>
      </c>
      <c r="B151" t="inlineStr">
        <is>
          <t>BLACKPINK</t>
        </is>
      </c>
      <c r="C151" t="inlineStr">
        <is>
          <t>spillover</t>
        </is>
      </c>
      <c r="D151" s="2" t="inlineStr">
        <is>
          <t>디올이 블랙핑크 지수를 하우스 앰버서더로 발탁했다.</t>
        </is>
      </c>
      <c r="E151" t="inlineStr"/>
      <c r="F151" t="inlineStr">
        <is>
          <t>N</t>
        </is>
      </c>
      <c r="G151" t="inlineStr"/>
      <c r="H151" s="6" t="inlineStr"/>
      <c r="I151" t="inlineStr"/>
      <c r="J151" t="inlineStr"/>
      <c r="K151" t="inlineStr"/>
    </row>
    <row r="152">
      <c r="A152" t="n">
        <v>151</v>
      </c>
      <c r="B152" t="inlineStr">
        <is>
          <t>NewJeans</t>
        </is>
      </c>
      <c r="C152" t="inlineStr">
        <is>
          <t>loyalty</t>
        </is>
      </c>
      <c r="D152" s="2" t="inlineStr">
        <is>
          <t>Fan group "Team Bunnies" was referred to prosecutors by Seoul's Jongam Police (July 10, 2025) for allegedly raising ~50 million KRW (~$38,000) via crowdfunding to fund legal offices and formal complaints on the group's behalf, illustrating how organized this fandom's advocacy infrastructure had become</t>
        </is>
      </c>
      <c r="E152" t="inlineStr"/>
      <c r="F152" t="inlineStr">
        <is>
          <t>N</t>
        </is>
      </c>
      <c r="G152" t="inlineStr"/>
      <c r="H152" s="6" t="inlineStr"/>
      <c r="I152" t="inlineStr"/>
      <c r="J152" t="inlineStr"/>
      <c r="K152" t="inlineStr"/>
    </row>
    <row r="153">
      <c r="A153" t="n">
        <v>152</v>
      </c>
      <c r="B153" t="inlineStr">
        <is>
          <t>투어스(TWS)</t>
        </is>
      </c>
      <c r="C153" t="inlineStr">
        <is>
          <t>spillover</t>
        </is>
      </c>
      <c r="D153" s="2" t="inlineStr">
        <is>
          <t>TWS won Best New Male Artist and Best Dance Performance (Male Group) at the 2024 MAMA Awards, held at the Dolby Theatre in Los Angeles — the first time the MAMA ceremony was held on U.S. soil.</t>
        </is>
      </c>
      <c r="E153" t="inlineStr"/>
      <c r="F153" t="inlineStr">
        <is>
          <t>N</t>
        </is>
      </c>
      <c r="G153" t="inlineStr"/>
      <c r="H153" s="6" t="inlineStr"/>
      <c r="I153" t="inlineStr"/>
      <c r="J153" t="inlineStr"/>
      <c r="K153" t="inlineStr"/>
    </row>
    <row r="154">
      <c r="A154" t="n">
        <v>153</v>
      </c>
      <c r="B154" t="inlineStr">
        <is>
          <t>카더가든</t>
        </is>
      </c>
      <c r="C154" t="inlineStr">
        <is>
          <t>spillover</t>
        </is>
      </c>
      <c r="D154" s="2" t="inlineStr">
        <is>
          <t>NH투자증권은 신규 고객 유치 캠페인 '나무꾼 대모집'의 광고 모델로 카더가든을 발탁해 국내주식 거래 수수료 할인 등을 홍보했다(2026년 4월 21일).</t>
        </is>
      </c>
      <c r="E154" t="inlineStr"/>
      <c r="F154" t="inlineStr">
        <is>
          <t>N</t>
        </is>
      </c>
      <c r="G154" t="inlineStr"/>
      <c r="H154" s="6" t="inlineStr"/>
      <c r="I154" t="inlineStr"/>
      <c r="J154" t="inlineStr"/>
      <c r="K154" t="inlineStr"/>
    </row>
    <row r="155">
      <c r="A155" t="n">
        <v>154</v>
      </c>
      <c r="B155" t="inlineStr">
        <is>
          <t>싸이</t>
        </is>
      </c>
      <c r="C155" t="inlineStr">
        <is>
          <t>loyalty</t>
        </is>
      </c>
      <c r="D155" s="2" t="inlineStr">
        <is>
          <t>태국 kapook.com 뮤직스테이션은 '강남스타일' 태국 도착 소식과 함께 싸이의 말춤 공연 및 태국 팬들에게 재방문을 요청하는 모습을 보도했다</t>
        </is>
      </c>
      <c r="E155" t="inlineStr"/>
      <c r="F155" t="inlineStr">
        <is>
          <t>N</t>
        </is>
      </c>
      <c r="G155" t="inlineStr"/>
      <c r="H155" s="6" t="inlineStr"/>
      <c r="I155" t="inlineStr"/>
      <c r="J155" t="inlineStr"/>
      <c r="K155" t="inlineStr"/>
    </row>
    <row r="156">
      <c r="A156" t="n">
        <v>155</v>
      </c>
      <c r="B156" t="inlineStr">
        <is>
          <t>엔믹스</t>
        </is>
      </c>
      <c r="C156" t="inlineStr">
        <is>
          <t>spillover</t>
        </is>
      </c>
      <c r="D156" s="2" t="inlineStr">
        <is>
          <t>카니발 시즌 '파블로의 블로쿠' 참여차 브라질을 방문한다고 CNN 브라질이 보도</t>
        </is>
      </c>
      <c r="E156" t="inlineStr"/>
      <c r="F156" t="inlineStr">
        <is>
          <t>N</t>
        </is>
      </c>
      <c r="G156" t="inlineStr"/>
      <c r="H156" s="6" t="inlineStr"/>
      <c r="I156" t="inlineStr"/>
      <c r="J156" t="inlineStr"/>
      <c r="K156" t="inlineStr"/>
    </row>
    <row r="157">
      <c r="A157" t="n">
        <v>156</v>
      </c>
      <c r="B157" t="inlineStr">
        <is>
          <t>10CM</t>
        </is>
      </c>
      <c r="C157" t="inlineStr">
        <is>
          <t>spillover</t>
        </is>
      </c>
      <c r="D157" s="2" t="inlineStr">
        <is>
          <t>대만 티켓 플랫폼 KKTIX에 따르면 10CM은 2026년 3월 20일 신베이 Zepp New Taipei에서 '2026 10CM Asia Tour &lt;To 10CM: Chapter 1&gt;' 타이베이 공연을 개최했다.</t>
        </is>
      </c>
      <c r="E157" t="inlineStr"/>
      <c r="F157" t="inlineStr">
        <is>
          <t>N</t>
        </is>
      </c>
      <c r="G157" t="inlineStr"/>
      <c r="H157" s="6" t="inlineStr"/>
      <c r="I157" t="inlineStr"/>
      <c r="J157" t="inlineStr"/>
      <c r="K157" t="inlineStr"/>
    </row>
    <row r="158">
      <c r="A158" t="n">
        <v>157</v>
      </c>
      <c r="B158" t="inlineStr">
        <is>
          <t>TWICE</t>
        </is>
      </c>
      <c r="C158" t="inlineStr">
        <is>
          <t>spillover</t>
        </is>
      </c>
      <c r="D158" s="2" t="inlineStr">
        <is>
          <t>Mnet 'TMI NEWS SHOW'는 트와이스가 2022년 상반기 진행한 광고 3건으로 약 15억원의 매출을 올린 것으로 추정된다고 보도했으며, 이는 같은 기간 미주 콘서트(228억원)·도쿄돔 공연(180억원) 등과 합산해 상반기 총 약 500억원(멤버 1인당 약 55억원) 수익의 일부로 집계됐다.</t>
        </is>
      </c>
      <c r="E158" t="inlineStr"/>
      <c r="F158" t="inlineStr">
        <is>
          <t>N</t>
        </is>
      </c>
      <c r="G158" t="inlineStr"/>
      <c r="H158" s="6" t="inlineStr"/>
      <c r="I158" t="inlineStr"/>
      <c r="J158" t="inlineStr"/>
      <c r="K158" t="inlineStr"/>
    </row>
    <row r="159">
      <c r="A159" t="n">
        <v>158</v>
      </c>
      <c r="B159" t="inlineStr">
        <is>
          <t>aespa</t>
        </is>
      </c>
      <c r="C159" t="inlineStr">
        <is>
          <t>loyalty</t>
        </is>
      </c>
      <c r="D159" s="2" t="inlineStr">
        <is>
          <t>aespa 공식 팬클럽 'MY' 멤버십이 위버스샵을 통해 정식 오픈되었으며 한국어/일본어/중국어 등 다국어로 공지되어 글로벌 팬덤 가입을 지원함</t>
        </is>
      </c>
      <c r="E159" t="inlineStr">
        <is>
          <t>위버스</t>
        </is>
      </c>
      <c r="F159" t="inlineStr">
        <is>
          <t>N</t>
        </is>
      </c>
      <c r="G159" t="inlineStr"/>
      <c r="H159" s="6" t="inlineStr"/>
      <c r="I159" t="inlineStr"/>
      <c r="J159" t="inlineStr"/>
      <c r="K159" t="inlineStr"/>
    </row>
    <row r="160">
      <c r="A160" t="n">
        <v>159</v>
      </c>
      <c r="B160" t="inlineStr">
        <is>
          <t>GOT7</t>
        </is>
      </c>
      <c r="C160" t="inlineStr">
        <is>
          <t>spillover</t>
        </is>
      </c>
      <c r="D160" s="2" t="inlineStr">
        <is>
          <t>2021년 4월 19일 잭슨 왕은 인스타그램 팔로워 2308만 4218명을 기록해 엑소 찬열을 근소한 차이로 앞지르며 중국 국적 인물 중 인스타그램 최다 팔로워 보유자가 됐다.</t>
        </is>
      </c>
      <c r="E160" t="inlineStr"/>
      <c r="F160" t="inlineStr">
        <is>
          <t>N</t>
        </is>
      </c>
      <c r="G160" t="inlineStr"/>
      <c r="H160" s="6" t="inlineStr"/>
      <c r="I160" t="inlineStr"/>
      <c r="J160" t="inlineStr"/>
      <c r="K160" t="inlineStr"/>
    </row>
    <row r="161">
      <c r="A161" t="n">
        <v>160</v>
      </c>
      <c r="B161" t="inlineStr">
        <is>
          <t>아이오아이</t>
        </is>
      </c>
      <c r="C161" t="inlineStr">
        <is>
          <t>loyalty</t>
        </is>
      </c>
      <c r="D161" s="2" t="inlineStr">
        <is>
          <t>After the 2017 disbandment scattered fans across members' individual groups/solo activities, the fandom "reconvened" strongly around the 2019 reunion announcement and 2021 anniversary broadcast</t>
        </is>
      </c>
      <c r="E161" t="inlineStr"/>
      <c r="F161" t="inlineStr">
        <is>
          <t>N</t>
        </is>
      </c>
      <c r="G161" t="inlineStr"/>
      <c r="H161" s="6" t="inlineStr"/>
      <c r="I161" t="inlineStr"/>
      <c r="J161" t="inlineStr"/>
      <c r="K161" t="inlineStr"/>
    </row>
    <row r="162">
      <c r="A162" t="n">
        <v>161</v>
      </c>
      <c r="B162" t="inlineStr">
        <is>
          <t>슈퍼주니어</t>
        </is>
      </c>
      <c r="C162" t="inlineStr">
        <is>
          <t>spillover</t>
        </is>
      </c>
      <c r="D162" s="2" t="inlineStr">
        <is>
          <t>중국 신랑(新浪) k.sina.com.cn이 슈퍼주니어가 서울가요대상에서 '월드초이스'상을 수상했다는 소식을 전하며, 멤버들이 "전 세계에서 열심히 돈을 벌고 있다"는 소감과 함께 팬들에게 인사를 전했다고 보도했다.</t>
        </is>
      </c>
      <c r="E162" t="inlineStr"/>
      <c r="F162" t="inlineStr">
        <is>
          <t>N</t>
        </is>
      </c>
      <c r="G162" t="inlineStr"/>
      <c r="H162" s="6" t="inlineStr"/>
      <c r="I162" t="inlineStr"/>
      <c r="J162" t="inlineStr"/>
      <c r="K162" t="inlineStr"/>
    </row>
    <row r="163">
      <c r="A163" s="7" t="n">
        <v>162</v>
      </c>
      <c r="B163" s="7" t="inlineStr">
        <is>
          <t>아이오아이</t>
        </is>
      </c>
      <c r="C163" s="7" t="inlineStr">
        <is>
          <t>spillover</t>
        </is>
      </c>
      <c r="D163" s="8" t="inlineStr">
        <is>
          <t>완전체 아이오아이(전소미·김세정·정채연 등 9인)가 2026년 5월 SBS '아니 근데 진짜!'에 출연해 10년 만의 재결합 비화를 공개했다.</t>
        </is>
      </c>
      <c r="E163" s="7" t="inlineStr"/>
      <c r="F163" s="7" t="inlineStr">
        <is>
          <t>Y</t>
        </is>
      </c>
      <c r="G163" s="7" t="inlineStr">
        <is>
          <t>SBS '아니 근데 진짜!' 출연</t>
        </is>
      </c>
      <c r="H163" s="7" t="inlineStr"/>
      <c r="I163" s="7" t="inlineStr"/>
      <c r="J163" s="7" t="inlineStr"/>
      <c r="K163" s="7" t="inlineStr"/>
    </row>
    <row r="164">
      <c r="A164" t="n">
        <v>163</v>
      </c>
      <c r="B164" t="inlineStr">
        <is>
          <t>아이오아이</t>
        </is>
      </c>
      <c r="C164" t="inlineStr">
        <is>
          <t>spillover</t>
        </is>
      </c>
      <c r="D164" s="2" t="inlineStr">
        <is>
          <t>코레진의 아이오아이 태그 페이지에는 2026년 5월 재결합한 아이오아이가 신곡 'Suddenly'로 한국 음원차트에서 실시간 올킬을 달성했다는 기사가 게재되어 있다.</t>
        </is>
      </c>
      <c r="E164" t="inlineStr"/>
      <c r="F164" t="inlineStr">
        <is>
          <t>N</t>
        </is>
      </c>
      <c r="G164" t="inlineStr"/>
      <c r="H164" s="6" t="inlineStr"/>
      <c r="I164" t="inlineStr"/>
      <c r="J164" t="inlineStr"/>
      <c r="K164" t="inlineStr"/>
    </row>
    <row r="165">
      <c r="A165" t="n">
        <v>164</v>
      </c>
      <c r="B165" t="inlineStr">
        <is>
          <t>김동률</t>
        </is>
      </c>
      <c r="C165" t="inlineStr">
        <is>
          <t>spillover</t>
        </is>
      </c>
      <c r="D165" s="2" t="inlineStr">
        <is>
          <t>24인조 오케스트라, 7인조 밴드, 6인조 브라스, 8인조 합창단 등 약 60명 규모의 공연진을 동원한 대형 프로덕션으로, 국내 솔로 콘서트 중 손꼽히는 스케일을 구현했다</t>
        </is>
      </c>
      <c r="E165" t="inlineStr"/>
      <c r="F165" t="inlineStr">
        <is>
          <t>N</t>
        </is>
      </c>
      <c r="G165" t="inlineStr"/>
      <c r="H165" s="6" t="inlineStr"/>
      <c r="I165" t="inlineStr"/>
      <c r="J165" t="inlineStr"/>
      <c r="K165" t="inlineStr"/>
    </row>
    <row r="166">
      <c r="A166" t="n">
        <v>165</v>
      </c>
      <c r="B166" t="inlineStr">
        <is>
          <t>몬스타엑스</t>
        </is>
      </c>
      <c r="C166" t="inlineStr">
        <is>
          <t>spillover</t>
        </is>
      </c>
      <c r="D166" s="2" t="inlineStr">
        <is>
          <t>The Momentum(태국)은 방콕 공연에서 멤버들이 팬들을 위해 준비한 태국어 문장으로 인사했고, 객석 근처로 다가가 직접 악수하는 순간이 있었다고 전했다.</t>
        </is>
      </c>
      <c r="E166" t="inlineStr"/>
      <c r="F166" t="inlineStr">
        <is>
          <t>N</t>
        </is>
      </c>
      <c r="G166" t="inlineStr"/>
      <c r="H166" s="6" t="inlineStr"/>
      <c r="I166" t="inlineStr"/>
      <c r="J166" t="inlineStr"/>
      <c r="K166" t="inlineStr"/>
    </row>
    <row r="167">
      <c r="A167" t="n">
        <v>166</v>
      </c>
      <c r="B167" t="inlineStr">
        <is>
          <t>빅마마</t>
        </is>
      </c>
      <c r="C167" t="inlineStr">
        <is>
          <t>loyalty</t>
        </is>
      </c>
      <c r="D167" s="2" t="inlineStr">
        <is>
          <t>빅마마는 2022년 4월 15년 만에 단독 전국투어 콘서트를 서울·부산·전주·대구·울산에서 5주간 개최했다.</t>
        </is>
      </c>
      <c r="E167" t="inlineStr"/>
      <c r="F167" t="inlineStr">
        <is>
          <t>N</t>
        </is>
      </c>
      <c r="G167" t="inlineStr"/>
      <c r="H167" s="6" t="inlineStr"/>
      <c r="I167" t="inlineStr"/>
      <c r="J167" t="inlineStr"/>
      <c r="K167" t="inlineStr"/>
    </row>
    <row r="168">
      <c r="A168" t="n">
        <v>167</v>
      </c>
      <c r="B168" t="inlineStr">
        <is>
          <t>지드래곤 (G-Dragon)</t>
        </is>
      </c>
      <c r="C168" t="inlineStr">
        <is>
          <t>spillover</t>
        </is>
      </c>
      <c r="D168" s="2" t="inlineStr">
        <is>
          <t>샤넬, 지드래곤 포함 글로벌 앰버서더 5인과 2026 봄-여름 아이웨어 캠페인 공개</t>
        </is>
      </c>
      <c r="E168" t="inlineStr"/>
      <c r="F168" t="inlineStr">
        <is>
          <t>N</t>
        </is>
      </c>
      <c r="G168" t="inlineStr"/>
      <c r="H168" s="6" t="inlineStr"/>
      <c r="I168" t="inlineStr"/>
      <c r="J168" t="inlineStr"/>
      <c r="K168" t="inlineStr"/>
    </row>
    <row r="169">
      <c r="A169" t="n">
        <v>168</v>
      </c>
      <c r="B169" t="inlineStr">
        <is>
          <t>IKON</t>
        </is>
      </c>
      <c r="C169" t="inlineStr">
        <is>
          <t>loyalty</t>
        </is>
      </c>
      <c r="D169" s="2" t="inlineStr">
        <is>
          <t>인도네시아 liputan6.com은 2026년 8월 21일 자카르타 이스토라 세나얀에서 열리는 iKON 'FOUREVER WORLD TOUR' 공연을 보도하며, 현지 팬클럽 iKONIC을 "동남아시아에서 가장 크고 가장 로열한 팬덤 중 하나(salah satu yang terbesar dan paling loyal di Asia Tenggara)"로 소개했다</t>
        </is>
      </c>
      <c r="E169" t="inlineStr"/>
      <c r="F169" t="inlineStr">
        <is>
          <t>N</t>
        </is>
      </c>
      <c r="G169" t="inlineStr"/>
      <c r="H169" s="6" t="inlineStr"/>
      <c r="I169" t="inlineStr"/>
      <c r="J169" t="inlineStr"/>
      <c r="K169" t="inlineStr"/>
    </row>
    <row r="170">
      <c r="A170" t="n">
        <v>169</v>
      </c>
      <c r="B170" t="inlineStr">
        <is>
          <t>슈퍼주니어</t>
        </is>
      </c>
      <c r="C170" t="inlineStr">
        <is>
          <t>loyalty</t>
        </is>
      </c>
      <c r="D170" s="2" t="inlineStr">
        <is>
          <t>2008년 팬클럽 E.L.F. 회원들이 SM엔터테인먼트 주식 5만8206주(지분 0.3%)를 매입해 경영 현안에 영향력을 행사하고자 했다.</t>
        </is>
      </c>
      <c r="E170" t="inlineStr"/>
      <c r="F170" t="inlineStr">
        <is>
          <t>N</t>
        </is>
      </c>
      <c r="G170" t="inlineStr"/>
      <c r="H170" s="6" t="inlineStr"/>
      <c r="I170" t="inlineStr"/>
      <c r="J170" t="inlineStr"/>
      <c r="K170" t="inlineStr"/>
    </row>
    <row r="171">
      <c r="A171" t="n">
        <v>170</v>
      </c>
      <c r="B171" t="inlineStr">
        <is>
          <t>슈퍼주니어</t>
        </is>
      </c>
      <c r="C171" t="inlineStr">
        <is>
          <t>spillover</t>
        </is>
      </c>
      <c r="D171" s="2" t="inlineStr">
        <is>
          <t>캐딜락이 2017년 12월 슈퍼주니어 동해와 함께한 브랜디드 뮤직 프로젝트 'Perfect'를 공개해 자동차 브랜드 콘텐츠에 참여시켰다.</t>
        </is>
      </c>
      <c r="E171" t="inlineStr"/>
      <c r="F171" t="inlineStr">
        <is>
          <t>N</t>
        </is>
      </c>
      <c r="G171" t="inlineStr"/>
      <c r="H171" s="6" t="inlineStr"/>
      <c r="I171" t="inlineStr"/>
      <c r="J171" t="inlineStr"/>
      <c r="K171" t="inlineStr"/>
    </row>
    <row r="172">
      <c r="A172" t="n">
        <v>171</v>
      </c>
      <c r="B172" t="inlineStr">
        <is>
          <t>악동뮤지션</t>
        </is>
      </c>
      <c r="C172" t="inlineStr">
        <is>
          <t>spillover</t>
        </is>
      </c>
      <c r="D172" s="2" t="inlineStr">
        <is>
          <t>2017년 '일기장' 투어는 서울 8회 공연에 더해 전국 9개 도시 순회, 2023~2024년 'AKMUTOPIA' 투어는 10개 도시를 도는 등 지역 공연시장에 지속적으로 파급 효과를 내고 있다.</t>
        </is>
      </c>
      <c r="E172" t="inlineStr"/>
      <c r="F172" t="inlineStr">
        <is>
          <t>N</t>
        </is>
      </c>
      <c r="G172" t="inlineStr"/>
      <c r="H172" s="6" t="inlineStr"/>
      <c r="I172" t="inlineStr"/>
      <c r="J172" t="inlineStr"/>
      <c r="K172" t="inlineStr"/>
    </row>
    <row r="173">
      <c r="A173" t="n">
        <v>172</v>
      </c>
      <c r="B173" t="inlineStr">
        <is>
          <t>김재중</t>
        </is>
      </c>
      <c r="C173" t="inlineStr">
        <is>
          <t>loyalty</t>
        </is>
      </c>
      <c r="D173" s="2" t="inlineStr">
        <is>
          <t>김재중은 2023년 6월 22일 글로벌 팬덤 공식 팬클럽 'BOSS BABIES'를 창설했다.</t>
        </is>
      </c>
      <c r="E173" t="inlineStr"/>
      <c r="F173" t="inlineStr">
        <is>
          <t>N</t>
        </is>
      </c>
      <c r="G173" t="inlineStr"/>
      <c r="H173" s="6" t="inlineStr"/>
      <c r="I173" t="inlineStr"/>
      <c r="J173" t="inlineStr"/>
      <c r="K173" t="inlineStr"/>
    </row>
    <row r="174">
      <c r="A174" t="n">
        <v>173</v>
      </c>
      <c r="B174" t="inlineStr">
        <is>
          <t>10CM</t>
        </is>
      </c>
      <c r="C174" t="inlineStr">
        <is>
          <t>spillover</t>
        </is>
      </c>
      <c r="D174" s="2" t="inlineStr">
        <is>
          <t>일본 프레스릴리스에 따르면 10CM은 2026년 3월 28일 도쿄 Zepp DiverCity에서 단독 공연 '2026 10CM Asia Tour &lt;To 10CM: Chapter 1&gt; in Tokyo'를 개최하며 약 1년 7개월 만에 일본 팬들과 재회했다.</t>
        </is>
      </c>
      <c r="E174" t="inlineStr"/>
      <c r="F174" t="inlineStr">
        <is>
          <t>N</t>
        </is>
      </c>
      <c r="G174" t="inlineStr"/>
      <c r="H174" s="6" t="inlineStr"/>
      <c r="I174" t="inlineStr"/>
      <c r="J174" t="inlineStr"/>
      <c r="K174" t="inlineStr"/>
    </row>
    <row r="175">
      <c r="A175" t="n">
        <v>174</v>
      </c>
      <c r="B175" t="inlineStr">
        <is>
          <t>BTS</t>
        </is>
      </c>
      <c r="C175" t="inlineStr">
        <is>
          <t>loyalty</t>
        </is>
      </c>
      <c r="D175" s="2" t="inlineStr">
        <is>
          <t>VIP 티켓(약 450만 루피아)이 프리세일 직후 매진됐고 이틀간 대기번호가 30만 명 이상, 일부는 50만 번대까지 나왔다고 인도네시아 매체 Medcom.id가 보도</t>
        </is>
      </c>
      <c r="E175" t="inlineStr"/>
      <c r="F175" t="inlineStr">
        <is>
          <t>N</t>
        </is>
      </c>
      <c r="G175" t="inlineStr"/>
      <c r="H175" s="6" t="inlineStr"/>
      <c r="I175" t="inlineStr"/>
      <c r="J175" t="inlineStr"/>
      <c r="K175" t="inlineStr"/>
    </row>
    <row r="176">
      <c r="A176" t="n">
        <v>175</v>
      </c>
      <c r="B176" t="inlineStr">
        <is>
          <t>Zion.T</t>
        </is>
      </c>
      <c r="C176" t="inlineStr">
        <is>
          <t>spillover</t>
        </is>
      </c>
      <c r="D176" s="2" t="inlineStr">
        <is>
          <t>일본 Kstyle은 "星野源とのコラボが日本でも話題に！実力派アーティストZion.Tの魅力に再注目"(호시노 겐과의 협업이 일본에서도 화제! 실력파 아티스트 Zion.T 매력 재조명)라는 제목으로 협업을 계기로 한 일본 내 재조명 기사를 게재했다.</t>
        </is>
      </c>
      <c r="E176" t="inlineStr"/>
      <c r="F176" t="inlineStr">
        <is>
          <t>N</t>
        </is>
      </c>
      <c r="G176" t="inlineStr"/>
      <c r="H176" s="6" t="inlineStr"/>
      <c r="I176" t="inlineStr"/>
      <c r="J176" t="inlineStr"/>
      <c r="K176" t="inlineStr"/>
    </row>
    <row r="177">
      <c r="A177" t="n">
        <v>176</v>
      </c>
      <c r="B177" t="inlineStr">
        <is>
          <t>BLACKPINK</t>
        </is>
      </c>
      <c r="C177" t="inlineStr">
        <is>
          <t>spillover</t>
        </is>
      </c>
      <c r="D177" s="2" t="inlineStr">
        <is>
          <t>로제가 2025년 9월 7일 MTV 비디오 뮤직 어워드에서 브루노 마스와 함께한 'APT.'로 '올해의 노래상'을 수상해 이 부문 최초 수상 K팝 아티스트가 됐으며, 블랙핑크로서 '베스트 그룹상'도 2년 연속 수상했다.</t>
        </is>
      </c>
      <c r="E177" t="inlineStr"/>
      <c r="F177" t="inlineStr">
        <is>
          <t>N</t>
        </is>
      </c>
      <c r="G177" t="inlineStr"/>
      <c r="H177" s="6" t="inlineStr"/>
      <c r="I177" t="inlineStr"/>
      <c r="J177" t="inlineStr"/>
      <c r="K177" t="inlineStr"/>
    </row>
    <row r="178">
      <c r="A178" t="n">
        <v>177</v>
      </c>
      <c r="B178" t="inlineStr">
        <is>
          <t>NCT</t>
        </is>
      </c>
      <c r="C178" t="inlineStr">
        <is>
          <t>loyalty</t>
        </is>
      </c>
      <c r="D178" s="2" t="inlineStr">
        <is>
          <t>NCT 서브유닛 JNJM(제노·재민)이 '2026 NCT JNJM FANMEETING TOUR DUALITY'로 서울-도쿄-자카르타(7월 4일, 테니스 인도어 스타디움)-마카오-가오슝-방콕(8월 8일)을 순회한다고 인도네시아 detikPop이 보도, 동남아 3개국을 아우르는 팬미팅 투어임을 보여준다</t>
        </is>
      </c>
      <c r="E178" t="inlineStr"/>
      <c r="F178" t="inlineStr">
        <is>
          <t>N</t>
        </is>
      </c>
      <c r="G178" t="inlineStr"/>
      <c r="H178" s="6" t="inlineStr"/>
      <c r="I178" t="inlineStr"/>
      <c r="J178" t="inlineStr"/>
      <c r="K178" t="inlineStr"/>
    </row>
    <row r="179">
      <c r="A179" t="n">
        <v>178</v>
      </c>
      <c r="B179" t="inlineStr">
        <is>
          <t>여자친구</t>
        </is>
      </c>
      <c r="C179" t="inlineStr">
        <is>
          <t>spillover</t>
        </is>
      </c>
      <c r="D179" s="2" t="inlineStr">
        <is>
          <t>여자친구가 2016년 여행가방 브랜드 '아메리칸 투어리스터(American Tourister)'의 광고 모델로 활동했다.</t>
        </is>
      </c>
      <c r="E179" t="inlineStr"/>
      <c r="F179" t="inlineStr">
        <is>
          <t>N</t>
        </is>
      </c>
      <c r="G179" t="inlineStr"/>
      <c r="H179" s="6" t="inlineStr"/>
      <c r="I179" t="inlineStr"/>
      <c r="J179" t="inlineStr"/>
      <c r="K179" t="inlineStr"/>
    </row>
    <row r="180">
      <c r="A180" t="n">
        <v>179</v>
      </c>
      <c r="B180" t="inlineStr">
        <is>
          <t>장윤정</t>
        </is>
      </c>
      <c r="C180" t="inlineStr">
        <is>
          <t>loyalty</t>
        </is>
      </c>
      <c r="D180" s="2" t="inlineStr">
        <is>
          <t>장윤정은 2024년 3월 2일 부산 KBS홀에서 낮·저녁 2회에 걸쳐 '2024 장윤정 라이브 콘서트' 부산 공연을 열었고, 관객들 사이에서 '정말 멋있고 반했다', '인생 공연이다' 등의 호평이 이어졌다.</t>
        </is>
      </c>
      <c r="E180" t="inlineStr"/>
      <c r="F180" t="inlineStr">
        <is>
          <t>N</t>
        </is>
      </c>
      <c r="G180" t="inlineStr"/>
      <c r="H180" s="6" t="inlineStr"/>
      <c r="I180" t="inlineStr"/>
      <c r="J180" t="inlineStr"/>
      <c r="K180" t="inlineStr"/>
    </row>
    <row r="181">
      <c r="A181" t="n">
        <v>180</v>
      </c>
      <c r="B181" t="inlineStr">
        <is>
          <t>god</t>
        </is>
      </c>
      <c r="C181" t="inlineStr">
        <is>
          <t>loyalty</t>
        </is>
      </c>
      <c r="D181" s="2" t="inlineStr">
        <is>
          <t>데뷔 25주년인 2024년 9월 서울 올림픽공원에서 연 단독 콘서트 'CHAPTER 0'는 3일간 전 회차가 예매 오픈과 동시에 매진되었고, 약 4만 명의 관객이 운집함</t>
        </is>
      </c>
      <c r="E181" t="inlineStr"/>
      <c r="F181" t="inlineStr">
        <is>
          <t>N</t>
        </is>
      </c>
      <c r="G181" t="inlineStr"/>
      <c r="H181" s="6" t="inlineStr"/>
      <c r="I181" t="inlineStr"/>
      <c r="J181" t="inlineStr"/>
      <c r="K181" t="inlineStr"/>
    </row>
    <row r="182">
      <c r="A182" t="n">
        <v>181</v>
      </c>
      <c r="B182" t="inlineStr">
        <is>
          <t>아일릿</t>
        </is>
      </c>
      <c r="C182" t="inlineStr">
        <is>
          <t>spillover</t>
        </is>
      </c>
      <c r="D182" s="2" t="inlineStr">
        <is>
          <t>폰드그룹의 글로벌 프리미엄 캐주얼 브랜드 슈퍼드라이(Superdry)가 아일릿(ILLIT)을 새로운 브랜드 앰버서더로 발탁하고 2025 F/W 빈티지 룩 캠페인을 전개했다(2025년 8월 7일).</t>
        </is>
      </c>
      <c r="E182" t="inlineStr"/>
      <c r="F182" t="inlineStr">
        <is>
          <t>N</t>
        </is>
      </c>
      <c r="G182" t="inlineStr"/>
      <c r="H182" s="6" t="inlineStr"/>
      <c r="I182" t="inlineStr"/>
      <c r="J182" t="inlineStr"/>
      <c r="K182" t="inlineStr"/>
    </row>
    <row r="183">
      <c r="A183" t="n">
        <v>182</v>
      </c>
      <c r="B183" t="inlineStr">
        <is>
          <t>임영웅</t>
        </is>
      </c>
      <c r="C183" t="inlineStr">
        <is>
          <t>loyalty</t>
        </is>
      </c>
      <c r="D183" s="2" t="inlineStr">
        <is>
          <t>'영웅시대'가 앨범 구입비로 모은 300만 원을 기부하는 등 선행 릴레이를 지속함</t>
        </is>
      </c>
      <c r="E183" t="inlineStr"/>
      <c r="F183" t="inlineStr">
        <is>
          <t>N</t>
        </is>
      </c>
      <c r="G183" t="inlineStr"/>
      <c r="H183" s="6" t="inlineStr"/>
      <c r="I183" t="inlineStr"/>
      <c r="J183" t="inlineStr"/>
      <c r="K183" t="inlineStr"/>
    </row>
    <row r="184">
      <c r="A184" t="n">
        <v>183</v>
      </c>
      <c r="B184" t="inlineStr">
        <is>
          <t>다비치</t>
        </is>
      </c>
      <c r="C184" t="inlineStr">
        <is>
          <t>spillover</t>
        </is>
      </c>
      <c r="D184" s="2" t="inlineStr">
        <is>
          <t>농심켈로그는 자사 켈로그 프로틴 라인 신제품의 새로운 모델로 뮤지션 강민경을 선정하고, 신규 광고 영상을 공개한다고 30일 밝혔다.</t>
        </is>
      </c>
      <c r="E184" t="inlineStr"/>
      <c r="F184" t="inlineStr">
        <is>
          <t>N</t>
        </is>
      </c>
      <c r="G184" t="inlineStr"/>
      <c r="H184" s="6" t="inlineStr"/>
      <c r="I184" t="inlineStr"/>
      <c r="J184" t="inlineStr"/>
      <c r="K184" t="inlineStr"/>
    </row>
    <row r="185">
      <c r="A185" t="n">
        <v>184</v>
      </c>
      <c r="B185" t="inlineStr">
        <is>
          <t>임영웅</t>
        </is>
      </c>
      <c r="C185" t="inlineStr">
        <is>
          <t>loyalty</t>
        </is>
      </c>
      <c r="D185" s="2" t="inlineStr">
        <is>
          <t>임영웅 팬클럽 영웅시대는 2025년 8월에도 지속적인 기부 활동을 이어가며 '선행 어디까지' 화제를 모았다.</t>
        </is>
      </c>
      <c r="E185" t="inlineStr"/>
      <c r="F185" t="inlineStr">
        <is>
          <t>N</t>
        </is>
      </c>
      <c r="G185" t="inlineStr"/>
      <c r="H185" s="6" t="inlineStr"/>
      <c r="I185" t="inlineStr"/>
      <c r="J185" t="inlineStr"/>
      <c r="K185" t="inlineStr"/>
    </row>
    <row r="186">
      <c r="A186" t="n">
        <v>185</v>
      </c>
      <c r="B186" t="inlineStr">
        <is>
          <t>NCT</t>
        </is>
      </c>
      <c r="C186" t="inlineStr">
        <is>
          <t>spillover</t>
        </is>
      </c>
      <c r="D186" s="2" t="inlineStr">
        <is>
          <t>NCT DREAM이 2017년 FIFA U-20 월드컵 코리아 홍보대사로 위촉됐다.</t>
        </is>
      </c>
      <c r="E186" t="inlineStr"/>
      <c r="F186" t="inlineStr">
        <is>
          <t>N</t>
        </is>
      </c>
      <c r="G186" t="inlineStr"/>
      <c r="H186" s="6" t="inlineStr"/>
      <c r="I186" t="inlineStr"/>
      <c r="J186" t="inlineStr"/>
      <c r="K186" t="inlineStr"/>
    </row>
    <row r="187">
      <c r="A187" t="n">
        <v>186</v>
      </c>
      <c r="B187" t="inlineStr">
        <is>
          <t>지코</t>
        </is>
      </c>
      <c r="C187" t="inlineStr">
        <is>
          <t>spillover</t>
        </is>
      </c>
      <c r="D187" s="2" t="inlineStr">
        <is>
          <t>'아무노래'는 멜론에서 공개 24시간 만에 130만 명 이상이 청취했고 멜론 주간 차트 8주 연속 1위, 한국에서 플래티넘(스트리밍 1억 회 이상) 인증을 받았다</t>
        </is>
      </c>
      <c r="E187" t="inlineStr"/>
      <c r="F187" t="inlineStr">
        <is>
          <t>N</t>
        </is>
      </c>
      <c r="G187" t="inlineStr"/>
      <c r="H187" s="6" t="inlineStr"/>
      <c r="I187" t="inlineStr"/>
      <c r="J187" t="inlineStr"/>
      <c r="K187" t="inlineStr"/>
    </row>
    <row r="188">
      <c r="A188" t="n">
        <v>187</v>
      </c>
      <c r="B188" t="inlineStr">
        <is>
          <t>BABYMONSTER</t>
        </is>
      </c>
      <c r="C188" t="inlineStr">
        <is>
          <t>loyalty</t>
        </is>
      </c>
      <c r="D188" s="2" t="inlineStr">
        <is>
          <t>"BABYMONSTER: Полный состав, новый старт и фан-поддержка" ("BABYMONSTER не ограничиваются Кореей... планирует масштабный фан-тур по пяти городам Азии") (완전체 활동과 팬 지지, 아시아 팬투어)</t>
        </is>
      </c>
      <c r="E188" t="inlineStr"/>
      <c r="F188" t="inlineStr">
        <is>
          <t>N</t>
        </is>
      </c>
      <c r="G188" t="inlineStr"/>
      <c r="H188" s="6" t="inlineStr"/>
      <c r="I188" t="inlineStr"/>
      <c r="J188" t="inlineStr"/>
      <c r="K188" t="inlineStr"/>
    </row>
    <row r="189">
      <c r="A189" t="n">
        <v>188</v>
      </c>
      <c r="B189" t="inlineStr">
        <is>
          <t>ATEEZ</t>
        </is>
      </c>
      <c r="C189" t="inlineStr">
        <is>
          <t>spillover</t>
        </is>
      </c>
      <c r="D189" s="2" t="inlineStr">
        <is>
          <t>ATEEZ's "GOLDEN HOUR: Part.5" debuted at No. 1 on the Billboard 200 albums chart</t>
        </is>
      </c>
      <c r="E189" t="inlineStr"/>
      <c r="F189" t="inlineStr">
        <is>
          <t>N</t>
        </is>
      </c>
      <c r="G189" t="inlineStr"/>
      <c r="H189" s="6" t="inlineStr"/>
      <c r="I189" t="inlineStr"/>
      <c r="J189" t="inlineStr"/>
      <c r="K189" t="inlineStr"/>
    </row>
    <row r="190">
      <c r="A190" t="n">
        <v>189</v>
      </c>
      <c r="B190" t="inlineStr">
        <is>
          <t>이효리</t>
        </is>
      </c>
      <c r="C190" t="inlineStr">
        <is>
          <t>spillover</t>
        </is>
      </c>
      <c r="D190" s="2" t="inlineStr">
        <is>
          <t>2009~2010년경 대우증권의 온라인 거래 서비스 '대우증권 다이렉트' 광고에 이효리가 출연했다.</t>
        </is>
      </c>
      <c r="E190" t="inlineStr"/>
      <c r="F190" t="inlineStr">
        <is>
          <t>N</t>
        </is>
      </c>
      <c r="G190" t="inlineStr"/>
      <c r="H190" s="6" t="inlineStr"/>
      <c r="I190" t="inlineStr"/>
      <c r="J190" t="inlineStr"/>
      <c r="K190" t="inlineStr"/>
    </row>
    <row r="191">
      <c r="A191" s="7" t="n">
        <v>190</v>
      </c>
      <c r="B191" s="7" t="inlineStr">
        <is>
          <t>카더가든</t>
        </is>
      </c>
      <c r="C191" s="7" t="inlineStr">
        <is>
          <t>loyalty</t>
        </is>
      </c>
      <c r="D191" s="8" t="inlineStr">
        <is>
          <t>2019년 SBS 서바이벌 프로그램 '더 팬'에서 대중·팬 투표를 거쳐 최종 우승을 차지했다.</t>
        </is>
      </c>
      <c r="E191" s="7" t="inlineStr"/>
      <c r="F191" s="7" t="inlineStr">
        <is>
          <t>Y</t>
        </is>
      </c>
      <c r="G191" s="7" t="inlineStr">
        <is>
          <t>SBS 서바이벌 '더 팬' 우승</t>
        </is>
      </c>
      <c r="H191" s="7" t="inlineStr"/>
      <c r="I191" s="7" t="inlineStr"/>
      <c r="J191" s="7" t="inlineStr"/>
      <c r="K191" s="7" t="inlineStr"/>
    </row>
    <row r="192">
      <c r="A192" t="n">
        <v>191</v>
      </c>
      <c r="B192" t="inlineStr">
        <is>
          <t>소녀시대</t>
        </is>
      </c>
      <c r="C192" t="inlineStr">
        <is>
          <t>spillover</t>
        </is>
      </c>
      <c r="D192" s="2" t="inlineStr">
        <is>
          <t>소녀시대는 2010년 에버랜드 워터파크 캐리비안베이의 광고 모델로 2PM과 함께 발탁되어 라이프가드 컨셉의 광고를 촬영했다.</t>
        </is>
      </c>
      <c r="E192" t="inlineStr"/>
      <c r="F192" t="inlineStr">
        <is>
          <t>N</t>
        </is>
      </c>
      <c r="G192" t="inlineStr"/>
      <c r="H192" s="6" t="inlineStr"/>
      <c r="I192" t="inlineStr"/>
      <c r="J192" t="inlineStr"/>
      <c r="K192" t="inlineStr"/>
    </row>
    <row r="193">
      <c r="A193" t="n">
        <v>192</v>
      </c>
      <c r="B193" t="inlineStr">
        <is>
          <t>BLACKPINK</t>
        </is>
      </c>
      <c r="C193" t="inlineStr">
        <is>
          <t>loyalty</t>
        </is>
      </c>
      <c r="D193" s="2" t="inlineStr">
        <is>
          <t>YG라이프, '리사, 태국인들의 마음을 훔치다(Stealing the Hearts of Thai People)' 제하 기사 게재</t>
        </is>
      </c>
      <c r="E193" t="inlineStr"/>
      <c r="F193" t="inlineStr">
        <is>
          <t>N</t>
        </is>
      </c>
      <c r="G193" t="inlineStr"/>
      <c r="H193" s="6" t="inlineStr"/>
      <c r="I193" t="inlineStr"/>
      <c r="J193" t="inlineStr"/>
      <c r="K193" t="inlineStr"/>
    </row>
    <row r="194">
      <c r="A194" t="n">
        <v>193</v>
      </c>
      <c r="B194" t="inlineStr">
        <is>
          <t>Hearts2Hearts</t>
        </is>
      </c>
      <c r="C194" t="inlineStr">
        <is>
          <t>spillover</t>
        </is>
      </c>
      <c r="D194" s="2" t="inlineStr">
        <is>
          <t>Hearts2Hearts는 Pinkvilla와의 단독 인터뷰에서 멤버 지우가 K팝을 응원해준 인도 팬들에게 감사를 전하며 언젠가 인도에서 콘서트를 열고 싶다는 바람을 밝혔다.</t>
        </is>
      </c>
      <c r="E194" t="inlineStr"/>
      <c r="F194" t="inlineStr">
        <is>
          <t>N</t>
        </is>
      </c>
      <c r="G194" t="inlineStr"/>
      <c r="H194" s="6" t="inlineStr"/>
      <c r="I194" t="inlineStr"/>
      <c r="J194" t="inlineStr"/>
      <c r="K194" t="inlineStr"/>
    </row>
    <row r="195">
      <c r="A195" t="n">
        <v>194</v>
      </c>
      <c r="B195" t="inlineStr">
        <is>
          <t>IVE</t>
        </is>
      </c>
      <c r="C195" t="inlineStr">
        <is>
          <t>loyalty</t>
        </is>
      </c>
      <c r="D195" s="2" t="inlineStr">
        <is>
          <t>아이브의 팬콘서트 '아이브 스카우트'는 2025년 2~4월 회차마다 예매 시작과 동시에 전석이 매진되며 압도적인 티켓 파워를 보여줬다.</t>
        </is>
      </c>
      <c r="E195" t="inlineStr"/>
      <c r="F195" t="inlineStr">
        <is>
          <t>N</t>
        </is>
      </c>
      <c r="G195" t="inlineStr"/>
      <c r="H195" s="6" t="inlineStr"/>
      <c r="I195" t="inlineStr"/>
      <c r="J195" t="inlineStr"/>
      <c r="K195" t="inlineStr"/>
    </row>
    <row r="196">
      <c r="A196" s="7" t="n">
        <v>195</v>
      </c>
      <c r="B196" s="7" t="inlineStr">
        <is>
          <t>박서진</t>
        </is>
      </c>
      <c r="C196" s="7" t="inlineStr">
        <is>
          <t>spillover</t>
        </is>
      </c>
      <c r="D196" s="8" t="inlineStr">
        <is>
          <t>박서진은 '미스터트롯2' 본선 2차전 데스매치에서 안성훈에게 13대 2로 패해 우승 후보로 꼽혔음에도 최종 탈락했다.</t>
        </is>
      </c>
      <c r="E196" s="7" t="inlineStr"/>
      <c r="F196" s="7" t="inlineStr">
        <is>
          <t>Y</t>
        </is>
      </c>
      <c r="G196" s="7" t="inlineStr">
        <is>
          <t>'미스터트롯2' 본선</t>
        </is>
      </c>
      <c r="H196" s="7" t="inlineStr"/>
      <c r="I196" s="7" t="inlineStr"/>
      <c r="J196" s="7" t="inlineStr"/>
      <c r="K196" s="7" t="inlineStr"/>
    </row>
    <row r="197">
      <c r="A197" t="n">
        <v>196</v>
      </c>
      <c r="B197" t="inlineStr">
        <is>
          <t>Hearts2Hearts</t>
        </is>
      </c>
      <c r="C197" t="inlineStr">
        <is>
          <t>spillover</t>
        </is>
      </c>
      <c r="D197" s="2" t="inlineStr">
        <is>
          <t>나무위키에 따르면 Hearts2Hearts는 데뷔 후 음악방송에서 총 9관왕(엠카운트다운 3회, 쇼음악중심 2회, 더쇼 2회, 쇼챔피언 1회, SBS인기가요 1회)을 기록했으며, 데뷔 싱글 'The Chase'로 데뷔 16일 만에 첫 1위(2025년 3월), 'RUDE!'로 5관왕(2026년 3월), 'Lemon Tang'으로 2관왕(2026년 7월)을 달성했다</t>
        </is>
      </c>
      <c r="E197" t="inlineStr"/>
      <c r="F197" t="inlineStr">
        <is>
          <t>N</t>
        </is>
      </c>
      <c r="G197" t="inlineStr"/>
      <c r="H197" s="6" t="inlineStr"/>
      <c r="I197" t="inlineStr"/>
      <c r="J197" t="inlineStr"/>
      <c r="K197" t="inlineStr"/>
    </row>
    <row r="198">
      <c r="A198" t="n">
        <v>197</v>
      </c>
      <c r="B198" t="inlineStr">
        <is>
          <t>에픽하이</t>
        </is>
      </c>
      <c r="C198" t="inlineStr">
        <is>
          <t>spillover</t>
        </is>
      </c>
      <c r="D198" s="2" t="inlineStr">
        <is>
          <t>일본 매체 담미(danmee.jp)는 방탄소년단(BTS) 슈가가 연습생 시절부터 에픽하이를 롤모델로 삼아왔으며, 2019년 3월 11일 발매된 에픽하이의 새 앨범 'sleepless in __________'에 단순 피처링이 아닌 프로듀서로 참여해 팬들 사이에서 '꿈이 이루어졌다'는 반응이 나왔다고 보도했다.</t>
        </is>
      </c>
      <c r="E198" t="inlineStr"/>
      <c r="F198" t="inlineStr">
        <is>
          <t>N</t>
        </is>
      </c>
      <c r="G198" t="inlineStr"/>
      <c r="H198" s="6" t="inlineStr"/>
      <c r="I198" t="inlineStr"/>
      <c r="J198" t="inlineStr"/>
      <c r="K198" t="inlineStr"/>
    </row>
    <row r="199">
      <c r="A199" t="n">
        <v>198</v>
      </c>
      <c r="B199" t="inlineStr">
        <is>
          <t>HOT</t>
        </is>
      </c>
      <c r="C199" t="inlineStr">
        <is>
          <t>loyalty</t>
        </is>
      </c>
      <c r="D199" s="2" t="inlineStr">
        <is>
          <t>H.O.T.는 전성기 10만 명 규모의 공식 유료 팬클럽 'Club H.O.T.'를 운영했으며, 2018년 재결합 콘서트는 예매 오픈 즉시 8만 석이 매진되고 양일간 10만 명이 동원됨</t>
        </is>
      </c>
      <c r="E199" t="inlineStr"/>
      <c r="F199" t="inlineStr">
        <is>
          <t>N</t>
        </is>
      </c>
      <c r="G199" t="inlineStr"/>
      <c r="H199" s="6" t="inlineStr"/>
      <c r="I199" t="inlineStr"/>
      <c r="J199" t="inlineStr"/>
      <c r="K199" t="inlineStr"/>
    </row>
    <row r="200">
      <c r="A200" t="n">
        <v>199</v>
      </c>
      <c r="B200" t="inlineStr">
        <is>
          <t>GOT7</t>
        </is>
      </c>
      <c r="C200" t="inlineStr">
        <is>
          <t>loyalty</t>
        </is>
      </c>
      <c r="D200" s="2" t="inlineStr">
        <is>
          <t>갓세븐은 2017년 한 해 동안 음반 82만 장을 판매해 국내 그룹 음반 판매량 4위에 올랐다.</t>
        </is>
      </c>
      <c r="E200" t="inlineStr"/>
      <c r="F200" t="inlineStr">
        <is>
          <t>N</t>
        </is>
      </c>
      <c r="G200" t="inlineStr"/>
      <c r="H200" s="6" t="inlineStr"/>
      <c r="I200" t="inlineStr"/>
      <c r="J200" t="inlineStr"/>
      <c r="K200" t="inlineStr"/>
    </row>
    <row r="201">
      <c r="A201" t="n">
        <v>200</v>
      </c>
      <c r="B201" t="inlineStr">
        <is>
          <t>김연자</t>
        </is>
      </c>
      <c r="C201" t="inlineStr">
        <is>
          <t>loyalty</t>
        </is>
      </c>
      <c r="D201" s="2" t="inlineStr">
        <is>
          <t>2015년 3월 세종문화회관에서 데뷔 40주년 단독 콘서트 '파티'를 개최했다.</t>
        </is>
      </c>
      <c r="E201" t="inlineStr"/>
      <c r="F201" t="inlineStr">
        <is>
          <t>N</t>
        </is>
      </c>
      <c r="G201" t="inlineStr"/>
      <c r="H201" s="6" t="inlineStr"/>
      <c r="I201" t="inlineStr"/>
      <c r="J201" t="inlineStr"/>
      <c r="K201" t="inlineStr"/>
    </row>
  </sheetData>
  <autoFilter ref="A1:K201"/>
  <dataValidations count="2">
    <dataValidation sqref="H2:H201" showDropDown="0" showInputMessage="0" showErrorMessage="0" allowBlank="1" type="list">
      <formula1>"A 누락·사전추가,B 누락·사전제외,C 경계·정의결정,D 아님,E 보류"</formula1>
    </dataValidation>
    <dataValidation sqref="J2:J201" showDropDown="0" showInputMessage="0" showErrorMessage="0" allowBlank="1" type="list">
      <formula1>"예능,유튜브,영화,드라마,라디오(신설·Q5),OTT·웹(신설·Q8),기타(메모에 적기)"</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88" customWidth="1" min="4" max="4"/>
    <col width="18" customWidth="1" min="5" max="5"/>
    <col width="12" customWidth="1" min="6" max="6"/>
    <col width="38" customWidth="1" min="7" max="7"/>
    <col width="20" customWidth="1" min="8" max="8"/>
    <col width="30" customWidth="1" min="9" max="9"/>
    <col width="30" customWidth="1" min="10" max="10"/>
    <col width="28" customWidth="1" min="11" max="11"/>
  </cols>
  <sheetData>
    <row r="1">
      <c r="A1" s="4" t="inlineStr">
        <is>
          <t>번호</t>
        </is>
      </c>
      <c r="B1" s="4" t="inlineStr">
        <is>
          <t>팬덤</t>
        </is>
      </c>
      <c r="C1" s="4" t="inlineStr">
        <is>
          <t>유형</t>
        </is>
      </c>
      <c r="D1" s="4" t="inlineStr">
        <is>
          <t>문장</t>
        </is>
      </c>
      <c r="E1" s="4" t="inlineStr">
        <is>
          <t>힌트어(사전 밖 유사 표현)</t>
        </is>
      </c>
      <c r="F1" s="4" t="inlineStr">
        <is>
          <t>모델 판독(Y/N)</t>
        </is>
      </c>
      <c r="G1" s="4" t="inlineStr">
        <is>
          <t>판독 사유</t>
        </is>
      </c>
      <c r="H1" s="4" t="inlineStr">
        <is>
          <t>저자 판정(A∼E)</t>
        </is>
      </c>
      <c r="I1" s="4" t="inlineStr">
        <is>
          <t>추가할 표현(A일 때, 문장에 나온 말 그대로)</t>
        </is>
      </c>
      <c r="J1" s="4" t="inlineStr">
        <is>
          <t>집계 대상(A일 때: 지역=시·도, 미디어=서브태그)</t>
        </is>
      </c>
      <c r="K1" s="4" t="inlineStr">
        <is>
          <t>메모</t>
        </is>
      </c>
    </row>
    <row r="2">
      <c r="A2" t="n">
        <v>1</v>
      </c>
      <c r="B2" t="inlineStr">
        <is>
          <t>aespa</t>
        </is>
      </c>
      <c r="C2" t="inlineStr">
        <is>
          <t>loyalty</t>
        </is>
      </c>
      <c r="D2" s="2" t="inlineStr">
        <is>
          <t>데뷔 EP 'Savage'(2021)가 누적 78만 8,959장 팔리며 2023년 5월까지 SM 소속 그룹 데뷔 음반 최고 판매 기록을 유지했다</t>
        </is>
      </c>
      <c r="E2" t="inlineStr"/>
      <c r="F2" t="inlineStr">
        <is>
          <t>N</t>
        </is>
      </c>
      <c r="G2" t="inlineStr"/>
      <c r="H2" s="6" t="inlineStr"/>
      <c r="I2" t="inlineStr"/>
      <c r="J2" t="inlineStr"/>
      <c r="K2" t="inlineStr"/>
    </row>
    <row r="3">
      <c r="A3" t="n">
        <v>2</v>
      </c>
      <c r="B3" t="inlineStr">
        <is>
          <t>조용필</t>
        </is>
      </c>
      <c r="C3" t="inlineStr">
        <is>
          <t>spillover</t>
        </is>
      </c>
      <c r="D3" s="2" t="inlineStr">
        <is>
          <t>갤럽코리아 선정 2013년 '올해의 가수'로 뽑혔고 은관문화훈장을 받았다</t>
        </is>
      </c>
      <c r="E3" t="inlineStr"/>
      <c r="F3" t="inlineStr">
        <is>
          <t>N</t>
        </is>
      </c>
      <c r="G3" t="inlineStr"/>
      <c r="H3" s="6" t="inlineStr"/>
      <c r="I3" t="inlineStr"/>
      <c r="J3" t="inlineStr"/>
      <c r="K3" t="inlineStr"/>
    </row>
    <row r="4">
      <c r="A4" t="n">
        <v>3</v>
      </c>
      <c r="B4" t="inlineStr">
        <is>
          <t>RIIZE</t>
        </is>
      </c>
      <c r="C4" t="inlineStr">
        <is>
          <t>spillover</t>
        </is>
      </c>
      <c r="D4" s="2" t="inlineStr">
        <is>
          <t>RIIZE became the new brand ambassador for Crocs Japan</t>
        </is>
      </c>
      <c r="E4" t="inlineStr"/>
      <c r="F4" t="inlineStr">
        <is>
          <t>N</t>
        </is>
      </c>
      <c r="G4" t="inlineStr"/>
      <c r="H4" s="6" t="inlineStr"/>
      <c r="I4" t="inlineStr"/>
      <c r="J4" t="inlineStr"/>
      <c r="K4" t="inlineStr"/>
    </row>
    <row r="5">
      <c r="A5" t="n">
        <v>4</v>
      </c>
      <c r="B5" t="inlineStr">
        <is>
          <t>박서진</t>
        </is>
      </c>
      <c r="C5" t="inlineStr">
        <is>
          <t>loyalty</t>
        </is>
      </c>
      <c r="D5" s="2" t="inlineStr">
        <is>
          <t>박서진은 2025년 하반기 '뉴트렌드 대상' 예선에서 음악 부문 35.15%, 멀티테이너 부문 62.88% 득표율로 각각 1위에 올랐으며, 멀티테이너 부문에서는 블랙핑크 지수(11.73%)를 앞섰다.</t>
        </is>
      </c>
      <c r="E5" t="inlineStr"/>
      <c r="F5" t="inlineStr">
        <is>
          <t>N</t>
        </is>
      </c>
      <c r="G5" t="inlineStr"/>
      <c r="H5" s="6" t="inlineStr"/>
      <c r="I5" t="inlineStr"/>
      <c r="J5" t="inlineStr"/>
      <c r="K5" t="inlineStr"/>
    </row>
    <row r="6">
      <c r="A6" t="n">
        <v>5</v>
      </c>
      <c r="B6" t="inlineStr">
        <is>
          <t>LE SSERAFIM</t>
        </is>
      </c>
      <c r="C6" t="inlineStr">
        <is>
          <t>loyalty</t>
        </is>
      </c>
      <c r="D6" s="2" t="inlineStr">
        <is>
          <t>'Easy'로 그룹 최초 빌보드 핫100에 진입했다.</t>
        </is>
      </c>
      <c r="E6" t="inlineStr"/>
      <c r="F6" t="inlineStr">
        <is>
          <t>N</t>
        </is>
      </c>
      <c r="G6" t="inlineStr"/>
      <c r="H6" s="6" t="inlineStr"/>
      <c r="I6" t="inlineStr"/>
      <c r="J6" t="inlineStr"/>
      <c r="K6" t="inlineStr"/>
    </row>
    <row r="7">
      <c r="A7" t="n">
        <v>6</v>
      </c>
      <c r="B7" t="inlineStr">
        <is>
          <t>레드벨벳</t>
        </is>
      </c>
      <c r="C7" t="inlineStr">
        <is>
          <t>loyalty</t>
        </is>
      </c>
      <c r="D7" s="2" t="inlineStr">
        <is>
          <t>'SMTOWN LIVE 2025 in MEXICO CITY'(2025년 5월 9일, Estadio GNP Seguros) 최종 라인업에 레드벨벳(웬디·예리 제외)이 포함되었다고 확정 보도.</t>
        </is>
      </c>
      <c r="E7" t="inlineStr"/>
      <c r="F7" t="inlineStr">
        <is>
          <t>N</t>
        </is>
      </c>
      <c r="G7" t="inlineStr"/>
      <c r="H7" s="6" t="inlineStr"/>
      <c r="I7" t="inlineStr"/>
      <c r="J7" t="inlineStr"/>
      <c r="K7" t="inlineStr"/>
    </row>
    <row r="8">
      <c r="A8" t="n">
        <v>7</v>
      </c>
      <c r="B8" t="inlineStr">
        <is>
          <t>IVE</t>
        </is>
      </c>
      <c r="C8" t="inlineStr">
        <is>
          <t>spillover</t>
        </is>
      </c>
      <c r="D8" s="2" t="inlineStr">
        <is>
          <t>아이브 리즈가 JTBC 주말드라마 '천국보다 아름다운'(김혜자·손석구 주연)의 다섯 번째 OST 트랙 'Heavy Love'를 2026년 5월 18일 발매했다. 웅장한 현악 사운드와 리즈 특유의 맑고 강한 보컬톤으로 사랑의 본질을 표현했다는 평을 받았다.</t>
        </is>
      </c>
      <c r="E8" t="inlineStr"/>
      <c r="F8" t="inlineStr">
        <is>
          <t>N</t>
        </is>
      </c>
      <c r="G8" t="inlineStr"/>
      <c r="H8" s="6" t="inlineStr"/>
      <c r="I8" t="inlineStr"/>
      <c r="J8" t="inlineStr"/>
      <c r="K8" t="inlineStr"/>
    </row>
    <row r="9">
      <c r="A9" t="n">
        <v>8</v>
      </c>
      <c r="B9" t="inlineStr">
        <is>
          <t>sg워너비</t>
        </is>
      </c>
      <c r="C9" t="inlineStr">
        <is>
          <t>spillover</t>
        </is>
      </c>
      <c r="D9" s="2" t="inlineStr">
        <is>
          <t>SG워너비 멤버 채동하는 2007년 KBS 드라마 '인순이는 예쁘다' OST에 솔로곡 '언제까지나'로 참여했다.</t>
        </is>
      </c>
      <c r="E9" t="inlineStr"/>
      <c r="F9" t="inlineStr">
        <is>
          <t>N</t>
        </is>
      </c>
      <c r="G9" t="inlineStr"/>
      <c r="H9" s="6" t="inlineStr"/>
      <c r="I9" t="inlineStr"/>
      <c r="J9" t="inlineStr"/>
      <c r="K9" t="inlineStr"/>
    </row>
    <row r="10">
      <c r="A10" t="n">
        <v>9</v>
      </c>
      <c r="B10" t="inlineStr">
        <is>
          <t>박재범</t>
        </is>
      </c>
      <c r="C10" t="inlineStr">
        <is>
          <t>loyalty</t>
        </is>
      </c>
      <c r="D10" s="2" t="inlineStr">
        <is>
          <t>박재범(Jay Park)의 모스크바 콘서트 홍보 페이지가 러시아 콘서트 기획사 Bright Side Concerts에 개설됨</t>
        </is>
      </c>
      <c r="E10" t="inlineStr"/>
      <c r="F10" t="inlineStr">
        <is>
          <t>N</t>
        </is>
      </c>
      <c r="G10" t="inlineStr"/>
      <c r="H10" s="6" t="inlineStr"/>
      <c r="I10" t="inlineStr"/>
      <c r="J10" t="inlineStr"/>
      <c r="K10" t="inlineStr"/>
    </row>
    <row r="11">
      <c r="A11" t="n">
        <v>10</v>
      </c>
      <c r="B11" t="inlineStr">
        <is>
          <t>이영지</t>
        </is>
      </c>
      <c r="C11" t="inlineStr">
        <is>
          <t>loyalty</t>
        </is>
      </c>
      <c r="D11" s="2" t="inlineStr">
        <is>
          <t>2026년 2월 모바일 게임 '경찰과 도둑'을 통해 팬들과 함께 아동병원에 3억 원을 기부하는 캠페인을 진행, 팬덤과의 협업형 선행이 이루어졌다</t>
        </is>
      </c>
      <c r="E11" t="inlineStr"/>
      <c r="F11" t="inlineStr">
        <is>
          <t>N</t>
        </is>
      </c>
      <c r="G11" t="inlineStr"/>
      <c r="H11" s="6" t="inlineStr"/>
      <c r="I11" t="inlineStr"/>
      <c r="J11" t="inlineStr"/>
      <c r="K11" t="inlineStr"/>
    </row>
    <row r="12">
      <c r="A12" t="n">
        <v>11</v>
      </c>
      <c r="B12" t="inlineStr">
        <is>
          <t>케이윌</t>
        </is>
      </c>
      <c r="C12" t="inlineStr">
        <is>
          <t>spillover</t>
        </is>
      </c>
      <c r="D12" s="2" t="inlineStr">
        <is>
          <t>"러브 119", "이러지마 제발" 등 다수의 음원 1위 곡을 보유해 '음원 킹'으로 불리며 장기간 스트리밍 시장에서 영향력을 발휘해왔다.</t>
        </is>
      </c>
      <c r="E12" t="inlineStr"/>
      <c r="F12" t="inlineStr">
        <is>
          <t>N</t>
        </is>
      </c>
      <c r="G12" t="inlineStr"/>
      <c r="H12" s="6" t="inlineStr"/>
      <c r="I12" t="inlineStr"/>
      <c r="J12" t="inlineStr"/>
      <c r="K12" t="inlineStr"/>
    </row>
    <row r="13">
      <c r="A13" t="n">
        <v>12</v>
      </c>
      <c r="B13" t="inlineStr">
        <is>
          <t>동방신기</t>
        </is>
      </c>
      <c r="C13" t="inlineStr">
        <is>
          <t>loyalty</t>
        </is>
      </c>
      <c r="D13" s="2" t="inlineStr">
        <is>
          <t>'Time' 투어(2013)가 85만 관객을 동원하며 9000만달러의 매출을 올렸다.</t>
        </is>
      </c>
      <c r="E13" t="inlineStr"/>
      <c r="F13" t="inlineStr">
        <is>
          <t>N</t>
        </is>
      </c>
      <c r="G13" t="inlineStr"/>
      <c r="H13" s="6" t="inlineStr"/>
      <c r="I13" t="inlineStr"/>
      <c r="J13" t="inlineStr"/>
      <c r="K13" t="inlineStr"/>
    </row>
    <row r="14">
      <c r="A14" t="n">
        <v>13</v>
      </c>
      <c r="B14" t="inlineStr">
        <is>
          <t>Hearts2Hearts</t>
        </is>
      </c>
      <c r="C14" t="inlineStr">
        <is>
          <t>spillover</t>
        </is>
      </c>
      <c r="D14" s="2" t="inlineStr">
        <is>
          <t>2025년 각종 시상식에서 신인상을 7회 수상했다.</t>
        </is>
      </c>
      <c r="E14" t="inlineStr"/>
      <c r="F14" t="inlineStr">
        <is>
          <t>N</t>
        </is>
      </c>
      <c r="G14" t="inlineStr"/>
      <c r="H14" s="6" t="inlineStr"/>
      <c r="I14" t="inlineStr"/>
      <c r="J14" t="inlineStr"/>
      <c r="K14" t="inlineStr"/>
    </row>
    <row r="15">
      <c r="A15" t="n">
        <v>14</v>
      </c>
      <c r="B15" t="inlineStr">
        <is>
          <t>CNBLUE</t>
        </is>
      </c>
      <c r="C15" t="inlineStr">
        <is>
          <t>spillover</t>
        </is>
      </c>
      <c r="D15" s="2" t="inlineStr">
        <is>
          <t>홍콩 매체 HK01이 CNBLUE의 월드투어 '3LOGY' 홍콩 공연(2026년 5월 16일, 아시아월드엑스포)에 대한 티켓 구매 가이드 기사를 게재했다. 기사는 HKD 880~1,680의 좌석 등급별 가격과 공연장 교통편을 상세히 안내했다.</t>
        </is>
      </c>
      <c r="E15" t="inlineStr"/>
      <c r="F15" t="inlineStr">
        <is>
          <t>N</t>
        </is>
      </c>
      <c r="G15" t="inlineStr"/>
      <c r="H15" s="6" t="inlineStr"/>
      <c r="I15" t="inlineStr"/>
      <c r="J15" t="inlineStr"/>
      <c r="K15" t="inlineStr"/>
    </row>
    <row r="16">
      <c r="A16" t="n">
        <v>15</v>
      </c>
      <c r="B16" t="inlineStr">
        <is>
          <t>ATEEZ</t>
        </is>
      </c>
      <c r="C16" t="inlineStr">
        <is>
          <t>spillover</t>
        </is>
      </c>
      <c r="D16" s="2" t="inlineStr">
        <is>
          <t>러시아어 K팝 전문매체 YesAsia.ru: 예능 프로그램 "The Listen" 시즌6 새 출연진 소식에서 ATEEZ 멤버 종호를 언급: "«The Listen» возвращается с 6 сезоном: Сухо из EXO, Чонхо из ATEEZ, Чу и другие станут новыми участниками"(예능 '더 리슨' 시즌6, EXO 수호·ATEEZ 종호 등이 새 출연진으로 합류) — 2026.09.02 게재, 대중 예능 프로그램 캐스팅을 통한 인지도 확장 근거</t>
        </is>
      </c>
      <c r="E16" t="inlineStr"/>
      <c r="F16" t="inlineStr">
        <is>
          <t>N</t>
        </is>
      </c>
      <c r="G16" t="inlineStr"/>
      <c r="H16" s="6" t="inlineStr"/>
      <c r="I16" t="inlineStr"/>
      <c r="J16" t="inlineStr"/>
      <c r="K16" t="inlineStr"/>
    </row>
    <row r="17">
      <c r="A17" t="n">
        <v>16</v>
      </c>
      <c r="B17" t="inlineStr">
        <is>
          <t>장윤정</t>
        </is>
      </c>
      <c r="C17" t="inlineStr">
        <is>
          <t>loyalty</t>
        </is>
      </c>
      <c r="D17" s="2" t="inlineStr">
        <is>
          <t>장윤정의 공식 팬클럽명은 '레모네이드'이며 공식 응원색은 노란색이다.</t>
        </is>
      </c>
      <c r="E17" t="inlineStr"/>
      <c r="F17" t="inlineStr">
        <is>
          <t>N</t>
        </is>
      </c>
      <c r="G17" t="inlineStr"/>
      <c r="H17" s="6" t="inlineStr"/>
      <c r="I17" t="inlineStr"/>
      <c r="J17" t="inlineStr"/>
      <c r="K17" t="inlineStr"/>
    </row>
    <row r="18">
      <c r="A18" t="n">
        <v>17</v>
      </c>
      <c r="B18" t="inlineStr">
        <is>
          <t>엔믹스</t>
        </is>
      </c>
      <c r="C18" t="inlineStr">
        <is>
          <t>spillover</t>
        </is>
      </c>
      <c r="D18" s="2" t="inlineStr">
        <is>
          <t>엔믹스가 2023년 네이버의 웹브라우저 '네이버 웨일' 배경화면 콜라보레이션에 참여했다.</t>
        </is>
      </c>
      <c r="E18" t="inlineStr"/>
      <c r="F18" t="inlineStr">
        <is>
          <t>N</t>
        </is>
      </c>
      <c r="G18" t="inlineStr"/>
      <c r="H18" s="6" t="inlineStr"/>
      <c r="I18" t="inlineStr"/>
      <c r="J18" t="inlineStr"/>
      <c r="K18" t="inlineStr"/>
    </row>
    <row r="19">
      <c r="A19" t="n">
        <v>18</v>
      </c>
      <c r="B19" t="inlineStr">
        <is>
          <t>BTS</t>
        </is>
      </c>
      <c r="C19" t="inlineStr">
        <is>
          <t>spillover</t>
        </is>
      </c>
      <c r="D19" s="2" t="inlineStr">
        <is>
          <t>BTS는 "Dynamite"(2020), "Savage Love" 리믹스(2020), "Life Goes On"(2020), "Butter"(2021), "Permission to Dance"(2021), "My Universe"(콜드플레이와 협업, 2021)로 빌보드 핫100 1위를 총 6차례 차지했다.</t>
        </is>
      </c>
      <c r="E19" t="inlineStr"/>
      <c r="F19" t="inlineStr">
        <is>
          <t>N</t>
        </is>
      </c>
      <c r="G19" t="inlineStr"/>
      <c r="H19" s="6" t="inlineStr"/>
      <c r="I19" t="inlineStr"/>
      <c r="J19" t="inlineStr"/>
      <c r="K19" t="inlineStr"/>
    </row>
    <row r="20">
      <c r="A20" t="n">
        <v>19</v>
      </c>
      <c r="B20" t="inlineStr">
        <is>
          <t>동방신기</t>
        </is>
      </c>
      <c r="C20" t="inlineStr">
        <is>
          <t>loyalty</t>
        </is>
      </c>
      <c r="D20" s="2" t="inlineStr">
        <is>
          <t>TVXQ held "2023 TVXQ CONCERT '20&amp;2'" (Dec. 30-31, 2023) marking 20 years since debut and their first concert in ~4 years 9 months; fandom Cassiopeia described as "800,000-strong".</t>
        </is>
      </c>
      <c r="E20" t="inlineStr"/>
      <c r="F20" t="inlineStr">
        <is>
          <t>N</t>
        </is>
      </c>
      <c r="G20" t="inlineStr"/>
      <c r="H20" s="6" t="inlineStr"/>
      <c r="I20" t="inlineStr"/>
      <c r="J20" t="inlineStr"/>
      <c r="K20" t="inlineStr"/>
    </row>
    <row r="21">
      <c r="A21" t="n">
        <v>20</v>
      </c>
      <c r="B21" t="inlineStr">
        <is>
          <t>TWICE</t>
        </is>
      </c>
      <c r="C21" t="inlineStr">
        <is>
          <t>spillover</t>
        </is>
      </c>
      <c r="D21" s="2" t="inlineStr">
        <is>
          <t>일본인 멤버 3명으로 구성된 TWICE의 서브유닛 MISAMO는 2023년 12월 31일 제74회 NHK 홍백가합전에 유닛 단독으로 출연해 'Do Not Touch' 무대를 선보였다.</t>
        </is>
      </c>
      <c r="E21" t="inlineStr"/>
      <c r="F21" t="inlineStr">
        <is>
          <t>N</t>
        </is>
      </c>
      <c r="G21" t="inlineStr"/>
      <c r="H21" s="6" t="inlineStr"/>
      <c r="I21" t="inlineStr"/>
      <c r="J21" t="inlineStr"/>
      <c r="K21" t="inlineStr"/>
    </row>
    <row r="22">
      <c r="A22" t="n">
        <v>21</v>
      </c>
      <c r="B22" t="inlineStr">
        <is>
          <t>IVE</t>
        </is>
      </c>
      <c r="C22" t="inlineStr">
        <is>
          <t>loyalty</t>
        </is>
      </c>
      <c r="D22" s="2" t="inlineStr">
        <is>
          <t>IVE's debut solo tour "The Prom Queens" (Feb–July 2023) covered 12 stops across Korea, Japan, Southeast Asia, and Taiwan, drawing 97,000 total attendance.</t>
        </is>
      </c>
      <c r="E22" t="inlineStr"/>
      <c r="F22" t="inlineStr">
        <is>
          <t>N</t>
        </is>
      </c>
      <c r="G22" t="inlineStr"/>
      <c r="H22" s="6" t="inlineStr"/>
      <c r="I22" t="inlineStr"/>
      <c r="J22" t="inlineStr"/>
      <c r="K22" t="inlineStr"/>
    </row>
    <row r="23">
      <c r="A23" t="n">
        <v>22</v>
      </c>
      <c r="B23" t="inlineStr">
        <is>
          <t>IVE</t>
        </is>
      </c>
      <c r="C23" t="inlineStr">
        <is>
          <t>loyalty</t>
        </is>
      </c>
      <c r="D23" s="2" t="inlineStr">
        <is>
          <t>팬클럽명은 DIVE(다이브)이며, 나무위키 아이브 문서에도 공식 팬덤명으로 명시되어 있다.</t>
        </is>
      </c>
      <c r="E23" t="inlineStr"/>
      <c r="F23" t="inlineStr">
        <is>
          <t>N</t>
        </is>
      </c>
      <c r="G23" t="inlineStr"/>
      <c r="H23" s="6" t="inlineStr"/>
      <c r="I23" t="inlineStr"/>
      <c r="J23" t="inlineStr"/>
      <c r="K23" t="inlineStr"/>
    </row>
    <row r="24">
      <c r="A24" t="n">
        <v>23</v>
      </c>
      <c r="B24" t="inlineStr">
        <is>
          <t>이찬원</t>
        </is>
      </c>
      <c r="C24" t="inlineStr">
        <is>
          <t>spillover</t>
        </is>
      </c>
      <c r="D24" s="2" t="inlineStr">
        <is>
          <t>이찬원은 첫 단독 콘서트 "찬스타임"으로 전국 9개 도시에서 27회 투어 공연을 개최했다</t>
        </is>
      </c>
      <c r="E24" t="inlineStr"/>
      <c r="F24" t="inlineStr">
        <is>
          <t>N</t>
        </is>
      </c>
      <c r="G24" t="inlineStr"/>
      <c r="H24" s="6" t="inlineStr"/>
      <c r="I24" t="inlineStr"/>
      <c r="J24" t="inlineStr"/>
      <c r="K24" t="inlineStr"/>
    </row>
    <row r="25">
      <c r="A25" t="n">
        <v>24</v>
      </c>
      <c r="B25" t="inlineStr">
        <is>
          <t>엄정화</t>
        </is>
      </c>
      <c r="C25" t="inlineStr">
        <is>
          <t>spillover</t>
        </is>
      </c>
      <c r="D25" s="2" t="inlineStr">
        <is>
          <t>엄정화는 2003년 한국야구위원회(KBO) 프로야구 홍보대사로 활동했다.</t>
        </is>
      </c>
      <c r="E25" t="inlineStr"/>
      <c r="F25" t="inlineStr">
        <is>
          <t>N</t>
        </is>
      </c>
      <c r="G25" t="inlineStr"/>
      <c r="H25" s="6" t="inlineStr"/>
      <c r="I25" t="inlineStr"/>
      <c r="J25" t="inlineStr"/>
      <c r="K25" t="inlineStr"/>
    </row>
    <row r="26">
      <c r="A26" t="n">
        <v>25</v>
      </c>
      <c r="B26" t="inlineStr">
        <is>
          <t>최예나</t>
        </is>
      </c>
      <c r="C26" t="inlineStr">
        <is>
          <t>spillover</t>
        </is>
      </c>
      <c r="D26" s="2" t="inlineStr">
        <is>
          <t>화장품 브랜드 '피노(PINO)'의 국내 론칭과 함께 브랜드 앰버서더로 발탁됐다.</t>
        </is>
      </c>
      <c r="E26" t="inlineStr"/>
      <c r="F26" t="inlineStr">
        <is>
          <t>N</t>
        </is>
      </c>
      <c r="G26" t="inlineStr"/>
      <c r="H26" s="6" t="inlineStr"/>
      <c r="I26" t="inlineStr"/>
      <c r="J26" t="inlineStr"/>
      <c r="K26" t="inlineStr"/>
    </row>
    <row r="27">
      <c r="A27" t="n">
        <v>26</v>
      </c>
      <c r="B27" t="inlineStr">
        <is>
          <t>브라운아이즈</t>
        </is>
      </c>
      <c r="C27" t="inlineStr">
        <is>
          <t>spillover</t>
        </is>
      </c>
      <c r="D27" s="2" t="inlineStr">
        <is>
          <t>나얼이 2017년 11월 발표한 신곡 'Emptiness in Memory'가 멜론·지니·엠넷 등 한국 6대 음원사이트 실시간·일간 차트에서 모두 1위를 차지하는 퍼펙트 올킬을 달성했다고 Soompi가 보도했다.</t>
        </is>
      </c>
      <c r="E27" t="inlineStr"/>
      <c r="F27" t="inlineStr">
        <is>
          <t>N</t>
        </is>
      </c>
      <c r="G27" t="inlineStr"/>
      <c r="H27" s="6" t="inlineStr"/>
      <c r="I27" t="inlineStr"/>
      <c r="J27" t="inlineStr"/>
      <c r="K27" t="inlineStr"/>
    </row>
    <row r="28">
      <c r="A28" t="n">
        <v>27</v>
      </c>
      <c r="B28" t="inlineStr">
        <is>
          <t>RIIZE</t>
        </is>
      </c>
      <c r="C28" t="inlineStr">
        <is>
          <t>loyalty</t>
        </is>
      </c>
      <c r="D28" s="2" t="inlineStr">
        <is>
          <t>RIIZE held an Aug 26, 2026 release showcase at Zepp Namba, Osaka for Japanese single "Sunburst," selecting 1,000 attendees by lottery among CD pre-order purchasers, with the show simulcast on YouTube</t>
        </is>
      </c>
      <c r="E28" t="inlineStr"/>
      <c r="F28" t="inlineStr">
        <is>
          <t>N</t>
        </is>
      </c>
      <c r="G28" t="inlineStr"/>
      <c r="H28" s="6" t="inlineStr"/>
      <c r="I28" t="inlineStr"/>
      <c r="J28" t="inlineStr"/>
      <c r="K28" t="inlineStr"/>
    </row>
    <row r="29">
      <c r="A29" t="n">
        <v>28</v>
      </c>
      <c r="B29" t="inlineStr">
        <is>
          <t>ATEEZ</t>
        </is>
      </c>
      <c r="C29" t="inlineStr">
        <is>
          <t>spillover</t>
        </is>
      </c>
      <c r="D29" s="2" t="inlineStr">
        <is>
          <t>에이티즈가 8월 8~9일 이틀간 열리는 '2026 SBS Gayo Daejeon Summer' 라인업에 확정됐다고 소속사 공식 플랫폼을 통해 공지됐다.</t>
        </is>
      </c>
      <c r="E29" t="inlineStr"/>
      <c r="F29" t="inlineStr">
        <is>
          <t>N</t>
        </is>
      </c>
      <c r="G29" t="inlineStr"/>
      <c r="H29" s="6" t="inlineStr"/>
      <c r="I29" t="inlineStr"/>
      <c r="J29" t="inlineStr"/>
      <c r="K29" t="inlineStr"/>
    </row>
    <row r="30">
      <c r="A30" t="n">
        <v>29</v>
      </c>
      <c r="B30" t="inlineStr">
        <is>
          <t>김호중</t>
        </is>
      </c>
      <c r="C30" t="inlineStr">
        <is>
          <t>loyalty</t>
        </is>
      </c>
      <c r="D30" s="2" t="inlineStr">
        <is>
          <t>김호중 팬클럽 '아리스'가 100억원 기부를 진행했는데 이 중 75억원은 앨범 구매를 통한 기부 형태였다는 점이 보도돼, 앨범 소비 자체가 팬덤의 기부·결속 행위로 직결됐음을 보여준다</t>
        </is>
      </c>
      <c r="E30" t="inlineStr"/>
      <c r="F30" t="inlineStr">
        <is>
          <t>N</t>
        </is>
      </c>
      <c r="G30" t="inlineStr"/>
      <c r="H30" s="6" t="inlineStr"/>
      <c r="I30" t="inlineStr"/>
      <c r="J30" t="inlineStr"/>
      <c r="K30" t="inlineStr"/>
    </row>
    <row r="31">
      <c r="A31" t="n">
        <v>30</v>
      </c>
      <c r="B31" t="inlineStr">
        <is>
          <t>악동뮤지션</t>
        </is>
      </c>
      <c r="C31" t="inlineStr">
        <is>
          <t>spillover</t>
        </is>
      </c>
      <c r="D31" s="2" t="inlineStr">
        <is>
          <t>2025년 그랜드 민트 페스티벌(GMF) 첫날 메인 무대 헤드라이너로 오른 악동뮤지션은 'DINOSAUR', '오랜 날 오랜 밤' 등으로 60분 넘게 무대를 채워 '가장 주목받은 무대'라는 평가를 받았다.</t>
        </is>
      </c>
      <c r="E31" t="inlineStr"/>
      <c r="F31" t="inlineStr">
        <is>
          <t>N</t>
        </is>
      </c>
      <c r="G31" t="inlineStr"/>
      <c r="H31" s="6" t="inlineStr"/>
      <c r="I31" t="inlineStr"/>
      <c r="J31" t="inlineStr"/>
      <c r="K31" t="inlineStr"/>
    </row>
    <row r="32">
      <c r="A32" t="n">
        <v>31</v>
      </c>
      <c r="B32" t="inlineStr">
        <is>
          <t>레드벨벳</t>
        </is>
      </c>
      <c r="C32" t="inlineStr">
        <is>
          <t>loyalty</t>
        </is>
      </c>
      <c r="D32" s="2" t="inlineStr">
        <is>
          <t>레드벨벳은 'R to V' 월드투어에서 요코하마(일본), 마닐라(필리핀), 방콕(태국), 자카르타(인도네시아) 등 아시아 각지 팬들과 만났다</t>
        </is>
      </c>
      <c r="E32" t="inlineStr"/>
      <c r="F32" t="inlineStr">
        <is>
          <t>N</t>
        </is>
      </c>
      <c r="G32" t="inlineStr"/>
      <c r="H32" s="6" t="inlineStr"/>
      <c r="I32" t="inlineStr"/>
      <c r="J32" t="inlineStr"/>
      <c r="K32" t="inlineStr"/>
    </row>
    <row r="33">
      <c r="A33" t="n">
        <v>32</v>
      </c>
      <c r="B33" t="inlineStr">
        <is>
          <t>LE SSERAFIM</t>
        </is>
      </c>
      <c r="C33" t="inlineStr">
        <is>
          <t>loyalty</t>
        </is>
      </c>
      <c r="D33" s="2" t="inlineStr">
        <is>
          <t>미니 2집 'Fearless'가 예약판매 7일 만에 27만 장, 16일 만에 38만 장을 기록했다</t>
        </is>
      </c>
      <c r="E33" t="inlineStr"/>
      <c r="F33" t="inlineStr">
        <is>
          <t>N</t>
        </is>
      </c>
      <c r="G33" t="inlineStr"/>
      <c r="H33" s="6" t="inlineStr"/>
      <c r="I33" t="inlineStr"/>
      <c r="J33" t="inlineStr"/>
      <c r="K33" t="inlineStr"/>
    </row>
    <row r="34">
      <c r="A34" t="n">
        <v>33</v>
      </c>
      <c r="B34" t="inlineStr">
        <is>
          <t>10CM</t>
        </is>
      </c>
      <c r="C34" t="inlineStr">
        <is>
          <t>loyalty</t>
        </is>
      </c>
      <c r="D34" s="2" t="inlineStr">
        <is>
          <t>1집 '1.0'이 2011년 2월 15일 발매 후 1주일 만에 1만 장 이상 판매되며 당시 인디밴드 최고 기록을 세웠다</t>
        </is>
      </c>
      <c r="E34" t="inlineStr"/>
      <c r="F34" t="inlineStr">
        <is>
          <t>N</t>
        </is>
      </c>
      <c r="G34" t="inlineStr"/>
      <c r="H34" s="6" t="inlineStr"/>
      <c r="I34" t="inlineStr"/>
      <c r="J34" t="inlineStr"/>
      <c r="K34" t="inlineStr"/>
    </row>
    <row r="35">
      <c r="A35" t="n">
        <v>34</v>
      </c>
      <c r="B35" t="inlineStr">
        <is>
          <t>엔믹스</t>
        </is>
      </c>
      <c r="C35" t="inlineStr">
        <is>
          <t>spillover</t>
        </is>
      </c>
      <c r="D35" s="2" t="inlineStr">
        <is>
          <t>대학축제 공연 중 반주가 끊기는 음향 사고가 났음에도 멤버들이 춤과 가창을 이어가자 관객들이 뜨거운 박수와 환호성으로 응답, '흔들림 없는 라이브'라는 호평이 이어졌다는 기사.</t>
        </is>
      </c>
      <c r="E35" t="inlineStr"/>
      <c r="F35" t="inlineStr">
        <is>
          <t>N</t>
        </is>
      </c>
      <c r="G35" t="inlineStr"/>
      <c r="H35" s="6" t="inlineStr"/>
      <c r="I35" t="inlineStr"/>
      <c r="J35" t="inlineStr"/>
      <c r="K35" t="inlineStr"/>
    </row>
    <row r="36">
      <c r="A36" t="n">
        <v>35</v>
      </c>
      <c r="B36" t="inlineStr">
        <is>
          <t>나훈아</t>
        </is>
      </c>
      <c r="C36" t="inlineStr">
        <is>
          <t>spillover</t>
        </is>
      </c>
      <c r="D36" s="2" t="inlineStr">
        <is>
          <t>나훈아의 2020년 9월 30일 KBS2 '2020 한가위 대기획 대한민국 어게인 나훈아'는 15년 만의 방송 출연으로, 실시간 시청률 41.44%, 올레TV 점유율 70% 이상을 기록했다.</t>
        </is>
      </c>
      <c r="E36" t="inlineStr"/>
      <c r="F36" t="inlineStr">
        <is>
          <t>N</t>
        </is>
      </c>
      <c r="G36" t="inlineStr"/>
      <c r="H36" s="6" t="inlineStr"/>
      <c r="I36" t="inlineStr"/>
      <c r="J36" t="inlineStr"/>
      <c r="K36" t="inlineStr"/>
    </row>
    <row r="37">
      <c r="A37" t="n">
        <v>36</v>
      </c>
      <c r="B37" t="inlineStr">
        <is>
          <t>Zion.T</t>
        </is>
      </c>
      <c r="C37" t="inlineStr">
        <is>
          <t>spillover</t>
        </is>
      </c>
      <c r="D37" s="2" t="inlineStr">
        <is>
          <t>2018년 3월 뉴욕·댈러스·산호세·LA·토론토·밴쿠버 등 미국·캐나다(북미) 6개 도시를 순회하는 단독 투어를 진행함</t>
        </is>
      </c>
      <c r="E37" t="inlineStr"/>
      <c r="F37" t="inlineStr">
        <is>
          <t>N</t>
        </is>
      </c>
      <c r="G37" t="inlineStr"/>
      <c r="H37" s="6" t="inlineStr"/>
      <c r="I37" t="inlineStr"/>
      <c r="J37" t="inlineStr"/>
      <c r="K37" t="inlineStr"/>
    </row>
    <row r="38">
      <c r="A38" t="n">
        <v>37</v>
      </c>
      <c r="B38" t="inlineStr">
        <is>
          <t>CORTIS</t>
        </is>
      </c>
      <c r="C38" t="inlineStr">
        <is>
          <t>spillover</t>
        </is>
      </c>
      <c r="D38" s="2" t="inlineStr">
        <is>
          <t>스킨케어 브랜드 토리든이 코르티스를 전속모델로 기획한 상품이 판매 시작 10분 만에 품절됐다고 스타뉴스가 보도했다.</t>
        </is>
      </c>
      <c r="E38" t="inlineStr"/>
      <c r="F38" t="inlineStr">
        <is>
          <t>N</t>
        </is>
      </c>
      <c r="G38" t="inlineStr"/>
      <c r="H38" s="6" t="inlineStr"/>
      <c r="I38" t="inlineStr"/>
      <c r="J38" t="inlineStr"/>
      <c r="K38" t="inlineStr"/>
    </row>
    <row r="39">
      <c r="A39" t="n">
        <v>38</v>
      </c>
      <c r="B39" t="inlineStr">
        <is>
          <t>TWICE</t>
        </is>
      </c>
      <c r="C39" t="inlineStr">
        <is>
          <t>spillover</t>
        </is>
      </c>
      <c r="D39" s="2" t="inlineStr">
        <is>
          <t>스페인 음악매체 Rockdelux가 트와이스의 2026년 5월 12일 바르셀로나 팔라우 산트 조르디 공연을 스페인 첫 콘서트로 평론했다고 보도했다.</t>
        </is>
      </c>
      <c r="E39" t="inlineStr"/>
      <c r="F39" t="inlineStr">
        <is>
          <t>N</t>
        </is>
      </c>
      <c r="G39" t="inlineStr"/>
      <c r="H39" s="6" t="inlineStr"/>
      <c r="I39" t="inlineStr"/>
      <c r="J39" t="inlineStr"/>
      <c r="K39" t="inlineStr"/>
    </row>
    <row r="40">
      <c r="A40" t="n">
        <v>39</v>
      </c>
      <c r="B40" t="inlineStr">
        <is>
          <t>악동뮤지션</t>
        </is>
      </c>
      <c r="C40" t="inlineStr">
        <is>
          <t>spillover</t>
        </is>
      </c>
      <c r="D40" s="2" t="inlineStr">
        <is>
          <t>2026년 4월 인스티즈 차트에서 Hearts2Hearts와 함께 4월 3주·4주 연속 정상을 차지했다.</t>
        </is>
      </c>
      <c r="E40" t="inlineStr"/>
      <c r="F40" t="inlineStr">
        <is>
          <t>N</t>
        </is>
      </c>
      <c r="G40" t="inlineStr"/>
      <c r="H40" s="6" t="inlineStr"/>
      <c r="I40" t="inlineStr"/>
      <c r="J40" t="inlineStr"/>
      <c r="K40" t="inlineStr"/>
    </row>
    <row r="41">
      <c r="A41" t="n">
        <v>40</v>
      </c>
      <c r="B41" t="inlineStr">
        <is>
          <t>오마이걸</t>
        </is>
      </c>
      <c r="C41" t="inlineStr">
        <is>
          <t>loyalty</t>
        </is>
      </c>
      <c r="D41" s="2" t="inlineStr">
        <is>
          <t>오마이걸 공식 팬클럽 미라클은 2017년 4월 데뷔 2주년을 기념해 한국백혈병어린이재단을 통해 소아암 치료 중인 어린이를 지원하는 성금을 기부했다.</t>
        </is>
      </c>
      <c r="E41" t="inlineStr"/>
      <c r="F41" t="inlineStr">
        <is>
          <t>N</t>
        </is>
      </c>
      <c r="G41" t="inlineStr"/>
      <c r="H41" s="6" t="inlineStr"/>
      <c r="I41" t="inlineStr"/>
      <c r="J41" t="inlineStr"/>
      <c r="K41" t="inlineStr"/>
    </row>
    <row r="42">
      <c r="A42" t="n">
        <v>41</v>
      </c>
      <c r="B42" t="inlineStr">
        <is>
          <t>IVE</t>
        </is>
      </c>
      <c r="C42" t="inlineStr">
        <is>
          <t>spillover</t>
        </is>
      </c>
      <c r="D42" s="2" t="inlineStr">
        <is>
          <t>Infobae covered the release of IVE's third EP "Ive Empathy," including lead singles "Rebel Heart" and "Attitude"</t>
        </is>
      </c>
      <c r="E42" t="inlineStr"/>
      <c r="F42" t="inlineStr">
        <is>
          <t>N</t>
        </is>
      </c>
      <c r="G42" t="inlineStr"/>
      <c r="H42" s="6" t="inlineStr"/>
      <c r="I42" t="inlineStr"/>
      <c r="J42" t="inlineStr"/>
      <c r="K42" t="inlineStr"/>
    </row>
    <row r="43">
      <c r="A43" t="n">
        <v>42</v>
      </c>
      <c r="B43" t="inlineStr">
        <is>
          <t>소녀시대</t>
        </is>
      </c>
      <c r="C43" t="inlineStr">
        <is>
          <t>loyalty</t>
        </is>
      </c>
      <c r="D43" s="2" t="inlineStr">
        <is>
          <t>"在少女時代演唱會時也給予了很多帥氣的應援活動" — 태연 인터뷰 기사에서 SONE(팬덤)이 콘서트에서 보여준 응원 활동을 "센스있다(SONE非常有Sense)"고 평가</t>
        </is>
      </c>
      <c r="E43" t="inlineStr"/>
      <c r="F43" t="inlineStr">
        <is>
          <t>N</t>
        </is>
      </c>
      <c r="G43" t="inlineStr"/>
      <c r="H43" s="6" t="inlineStr"/>
      <c r="I43" t="inlineStr"/>
      <c r="J43" t="inlineStr"/>
      <c r="K43" t="inlineStr"/>
    </row>
    <row r="44">
      <c r="A44" s="7" t="n">
        <v>43</v>
      </c>
      <c r="B44" s="7" t="inlineStr">
        <is>
          <t>송가인</t>
        </is>
      </c>
      <c r="C44" s="7" t="inlineStr">
        <is>
          <t>spillover</t>
        </is>
      </c>
      <c r="D44" s="8" t="inlineStr">
        <is>
          <t>송가인이 경상북도 봉화군 내성천 체육공원에서 열린 제29회 봉화송이축제 폐막식(2025년 10월 19일)에 출연해 가을밤 무대를 장식했다.</t>
        </is>
      </c>
      <c r="E44" s="7" t="inlineStr"/>
      <c r="F44" s="7" t="inlineStr">
        <is>
          <t>Y</t>
        </is>
      </c>
      <c r="G44" s="7" t="inlineStr">
        <is>
          <t>경상북도 봉화군 — '경북' 약칭만 사전, 봉화 없음</t>
        </is>
      </c>
      <c r="H44" s="7" t="inlineStr"/>
      <c r="I44" s="7" t="inlineStr"/>
      <c r="J44" s="7" t="inlineStr"/>
      <c r="K44" s="7" t="inlineStr"/>
    </row>
    <row r="45">
      <c r="A45" t="n">
        <v>44</v>
      </c>
      <c r="B45" t="inlineStr">
        <is>
          <t>싸이</t>
        </is>
      </c>
      <c r="C45" t="inlineStr">
        <is>
          <t>loyalty</t>
        </is>
      </c>
      <c r="D45" s="2" t="inlineStr">
        <is>
          <t>태국 mgronline.com은 싸이가 말춤을 선보이며 태국 팬들의 지지에 감사를 표하고 재방문 의사를 밝힌 현장을 보도했다</t>
        </is>
      </c>
      <c r="E45" t="inlineStr"/>
      <c r="F45" t="inlineStr">
        <is>
          <t>N</t>
        </is>
      </c>
      <c r="G45" t="inlineStr"/>
      <c r="H45" s="6" t="inlineStr"/>
      <c r="I45" t="inlineStr"/>
      <c r="J45" t="inlineStr"/>
      <c r="K45" t="inlineStr"/>
    </row>
    <row r="46">
      <c r="A46" t="n">
        <v>45</v>
      </c>
      <c r="B46" t="inlineStr">
        <is>
          <t>여자친구</t>
        </is>
      </c>
      <c r="C46" t="inlineStr">
        <is>
          <t>loyalty</t>
        </is>
      </c>
      <c r="D46" s="2" t="inlineStr">
        <is>
          <t>Natalie (natalie.mu), Japan's major music/culture news site, covered the release of GFriend's second Japanese photobook "CHOICE," a fan-merchandise item aimed at the group's dedicated Japanese fanbase.</t>
        </is>
      </c>
      <c r="E46" t="inlineStr"/>
      <c r="F46" t="inlineStr">
        <is>
          <t>N</t>
        </is>
      </c>
      <c r="G46" t="inlineStr"/>
      <c r="H46" s="6" t="inlineStr"/>
      <c r="I46" t="inlineStr"/>
      <c r="J46" t="inlineStr"/>
      <c r="K46" t="inlineStr"/>
    </row>
    <row r="47">
      <c r="A47" t="n">
        <v>46</v>
      </c>
      <c r="B47" t="inlineStr">
        <is>
          <t>박재범</t>
        </is>
      </c>
      <c r="C47" t="inlineStr">
        <is>
          <t>loyalty</t>
        </is>
      </c>
      <c r="D47" s="2" t="inlineStr">
        <is>
          <t>Jay Park 팬미트 파티 티켓 9월7일 판매 개시</t>
        </is>
      </c>
      <c r="E47" t="inlineStr"/>
      <c r="F47" t="inlineStr">
        <is>
          <t>N</t>
        </is>
      </c>
      <c r="G47" t="inlineStr"/>
      <c r="H47" s="6" t="inlineStr"/>
      <c r="I47" t="inlineStr"/>
      <c r="J47" t="inlineStr"/>
      <c r="K47" t="inlineStr"/>
    </row>
    <row r="48">
      <c r="A48" t="n">
        <v>47</v>
      </c>
      <c r="B48" t="inlineStr">
        <is>
          <t>에픽하이</t>
        </is>
      </c>
      <c r="C48" t="inlineStr">
        <is>
          <t>spillover</t>
        </is>
      </c>
      <c r="D48" s="2" t="inlineStr">
        <is>
          <t>리더 타블로가 CNN 브라질과 인터뷰하며 케이팝 아이돌들의 참고 대상이 되는 소감을 밝힘</t>
        </is>
      </c>
      <c r="E48" t="inlineStr"/>
      <c r="F48" t="inlineStr">
        <is>
          <t>N</t>
        </is>
      </c>
      <c r="G48" t="inlineStr"/>
      <c r="H48" s="6" t="inlineStr"/>
      <c r="I48" t="inlineStr"/>
      <c r="J48" t="inlineStr"/>
      <c r="K48" t="inlineStr"/>
    </row>
    <row r="49">
      <c r="A49" t="n">
        <v>48</v>
      </c>
      <c r="B49" t="inlineStr">
        <is>
          <t>권은비</t>
        </is>
      </c>
      <c r="C49" t="inlineStr">
        <is>
          <t>spillover</t>
        </is>
      </c>
      <c r="D49" s="2" t="inlineStr">
        <is>
          <t>Sang her first drama OST, a remake of Lee Seung-hwan's "세상에 뿌려진 사랑만큼," marking a "OST 퀸" crossover moment beyond music/festival work</t>
        </is>
      </c>
      <c r="E49" t="inlineStr"/>
      <c r="F49" t="inlineStr">
        <is>
          <t>N</t>
        </is>
      </c>
      <c r="G49" t="inlineStr"/>
      <c r="H49" s="6" t="inlineStr"/>
      <c r="I49" t="inlineStr"/>
      <c r="J49" t="inlineStr"/>
      <c r="K49" t="inlineStr"/>
    </row>
    <row r="50">
      <c r="A50" t="n">
        <v>49</v>
      </c>
      <c r="B50" t="inlineStr">
        <is>
          <t>슈퍼주니어</t>
        </is>
      </c>
      <c r="C50" t="inlineStr">
        <is>
          <t>spillover</t>
        </is>
      </c>
      <c r="D50" s="2" t="inlineStr">
        <is>
          <t>슈퍼주니어 최시원은 2024년 드라마 'DNA러버'에서 심연우 역 주연을 맡았고 영화 '동화지만 청불입니다'(정석 역), '로비'(마태수 역)에도 출연했으며, 현재 유니세프 한국위원회 특별대표와 마약퇴치운동본부 고문으로 활동 중이다.</t>
        </is>
      </c>
      <c r="E50" t="inlineStr"/>
      <c r="F50" t="inlineStr">
        <is>
          <t>N</t>
        </is>
      </c>
      <c r="G50" t="inlineStr"/>
      <c r="H50" s="6" t="inlineStr"/>
      <c r="I50" t="inlineStr"/>
      <c r="J50" t="inlineStr"/>
      <c r="K50" t="inlineStr"/>
    </row>
    <row r="51">
      <c r="A51" t="n">
        <v>50</v>
      </c>
      <c r="B51" t="inlineStr">
        <is>
          <t>싸이</t>
        </is>
      </c>
      <c r="C51" t="inlineStr">
        <is>
          <t>spillover</t>
        </is>
      </c>
      <c r="D51" s="2" t="inlineStr">
        <is>
          <t>하이트진로가 2012년 11월 싸이를 소주 '참이슬'과 맥주 '드라이피니시d' 광고 모델로 동시에 발탁해, 한 모델이 소주와 맥주 광고를 함께 맡는 업계의 이례적인 계약을 성사시켰다.</t>
        </is>
      </c>
      <c r="E51" t="inlineStr"/>
      <c r="F51" t="inlineStr">
        <is>
          <t>N</t>
        </is>
      </c>
      <c r="G51" t="inlineStr"/>
      <c r="H51" s="6" t="inlineStr"/>
      <c r="I51" t="inlineStr"/>
      <c r="J51" t="inlineStr"/>
      <c r="K51" t="inlineStr"/>
    </row>
    <row r="52">
      <c r="A52" s="7" t="n">
        <v>51</v>
      </c>
      <c r="B52" s="7" t="inlineStr">
        <is>
          <t>투어스(TWS)</t>
        </is>
      </c>
      <c r="C52" s="7" t="inlineStr">
        <is>
          <t>loyalty</t>
        </is>
      </c>
      <c r="D52" s="8" t="inlineStr">
        <is>
          <t>TWS held their first official fan meeting, '42:Club' in Seoul, February 14–16, 2025 at Seoul Olympic Park's Handball Gymnasium; advance reservations for all three sessions sold out at high speed.</t>
        </is>
      </c>
      <c r="E52" s="7" t="inlineStr"/>
      <c r="F52" s="7" t="inlineStr">
        <is>
          <t>Y</t>
        </is>
      </c>
      <c r="G52" s="7" t="inlineStr">
        <is>
          <t>Seoul Olympic Park (영문 지명)</t>
        </is>
      </c>
      <c r="H52" s="7" t="inlineStr"/>
      <c r="I52" s="7" t="inlineStr"/>
      <c r="J52" s="7" t="inlineStr"/>
      <c r="K52" s="7" t="inlineStr"/>
    </row>
    <row r="53">
      <c r="A53" t="n">
        <v>52</v>
      </c>
      <c r="B53" t="inlineStr">
        <is>
          <t>CORTIS</t>
        </is>
      </c>
      <c r="C53" t="inlineStr">
        <is>
          <t>loyalty</t>
        </is>
      </c>
      <c r="D53" s="2" t="inlineStr">
        <is>
          <t>2번째 EP 'GreenGreen'은 초동 판매량 약 231만 장을 기록해 데뷔작 대비 약 5배 성장했으며, 빌보드 200 3위에 진입했다.</t>
        </is>
      </c>
      <c r="E53" t="inlineStr"/>
      <c r="F53" t="inlineStr">
        <is>
          <t>N</t>
        </is>
      </c>
      <c r="G53" t="inlineStr"/>
      <c r="H53" s="6" t="inlineStr"/>
      <c r="I53" t="inlineStr"/>
      <c r="J53" t="inlineStr"/>
      <c r="K53" t="inlineStr"/>
    </row>
    <row r="54">
      <c r="A54" t="n">
        <v>53</v>
      </c>
      <c r="B54" t="inlineStr">
        <is>
          <t>린</t>
        </is>
      </c>
      <c r="C54" t="inlineStr">
        <is>
          <t>spillover</t>
        </is>
      </c>
      <c r="D54" s="2" t="inlineStr">
        <is>
          <t>린은 2024년 11월부터 2025년 2월까지 방영된 '현역가왕2'에서 심사위원으로 활동했다.</t>
        </is>
      </c>
      <c r="E54" t="inlineStr"/>
      <c r="F54" t="inlineStr">
        <is>
          <t>N</t>
        </is>
      </c>
      <c r="G54" t="inlineStr"/>
      <c r="H54" s="6" t="inlineStr"/>
      <c r="I54" t="inlineStr"/>
      <c r="J54" t="inlineStr"/>
      <c r="K54" t="inlineStr"/>
    </row>
    <row r="55">
      <c r="A55" t="n">
        <v>54</v>
      </c>
      <c r="B55" t="inlineStr">
        <is>
          <t>BLACKPINK</t>
        </is>
      </c>
      <c r="C55" t="inlineStr">
        <is>
          <t>spillover</t>
        </is>
      </c>
      <c r="D55" s="2" t="inlineStr">
        <is>
          <t>페루 매체 La República가 블랙핑크가 2023년 4월 26~27일 멕시코시티 포로 솔에서 공연하며 한국 걸그룹 최고 흥행 투어 기록을 세웠다고 보도했다.</t>
        </is>
      </c>
      <c r="E55" t="inlineStr"/>
      <c r="F55" t="inlineStr">
        <is>
          <t>N</t>
        </is>
      </c>
      <c r="G55" t="inlineStr"/>
      <c r="H55" s="6" t="inlineStr"/>
      <c r="I55" t="inlineStr"/>
      <c r="J55" t="inlineStr"/>
      <c r="K55" t="inlineStr"/>
    </row>
    <row r="56">
      <c r="A56" t="n">
        <v>55</v>
      </c>
      <c r="B56" t="inlineStr">
        <is>
          <t>엔믹스</t>
        </is>
      </c>
      <c r="C56" t="inlineStr">
        <is>
          <t>spillover</t>
        </is>
      </c>
      <c r="D56" s="2" t="inlineStr">
        <is>
          <t>2025년 패션 브랜드 게스(GUESS)의 아시아 앰버서더로 멤버 전원이 계약을 맺었다.</t>
        </is>
      </c>
      <c r="E56" t="inlineStr"/>
      <c r="F56" t="inlineStr">
        <is>
          <t>N</t>
        </is>
      </c>
      <c r="G56" t="inlineStr"/>
      <c r="H56" s="6" t="inlineStr"/>
      <c r="I56" t="inlineStr"/>
      <c r="J56" t="inlineStr"/>
      <c r="K56" t="inlineStr"/>
    </row>
    <row r="57">
      <c r="A57" t="n">
        <v>56</v>
      </c>
      <c r="B57" t="inlineStr">
        <is>
          <t>아이유</t>
        </is>
      </c>
      <c r="C57" t="inlineStr">
        <is>
          <t>spillover</t>
        </is>
      </c>
      <c r="D57" s="2" t="inlineStr">
        <is>
          <t>아이유가 2026년 9월 4일 0시 공식 SNS를 통해 새 디지털 싱글의 레트로 콘셉트 티저 영상을 공개했고, 9월 10일 오후 6시 발매 예정이라는 소식이 다수 매체를 통해 보도되었다.</t>
        </is>
      </c>
      <c r="E57" t="inlineStr"/>
      <c r="F57" t="inlineStr">
        <is>
          <t>N</t>
        </is>
      </c>
      <c r="G57" t="inlineStr"/>
      <c r="H57" s="6" t="inlineStr"/>
      <c r="I57" t="inlineStr"/>
      <c r="J57" t="inlineStr"/>
      <c r="K57" t="inlineStr"/>
    </row>
    <row r="58">
      <c r="A58" t="n">
        <v>57</v>
      </c>
      <c r="B58" t="inlineStr">
        <is>
          <t>이찬원</t>
        </is>
      </c>
      <c r="C58" t="inlineStr">
        <is>
          <t>loyalty</t>
        </is>
      </c>
      <c r="D58" s="2" t="inlineStr">
        <is>
          <t>Lee Chan-won personally donated 100 million won to the Love of Sharing Social Welfare Community Chest on Nov 29, 2024, becoming an Honor Society member (100M+ won donor club), explicitly citing his fan club's charitable activity as his motivation ("to add warmth to match the club's good deeds")</t>
        </is>
      </c>
      <c r="E58" t="inlineStr"/>
      <c r="F58" t="inlineStr">
        <is>
          <t>N</t>
        </is>
      </c>
      <c r="G58" t="inlineStr"/>
      <c r="H58" s="6" t="inlineStr"/>
      <c r="I58" t="inlineStr"/>
      <c r="J58" t="inlineStr"/>
      <c r="K58" t="inlineStr"/>
    </row>
    <row r="59">
      <c r="A59" t="n">
        <v>58</v>
      </c>
      <c r="B59" t="inlineStr">
        <is>
          <t>오마이걸</t>
        </is>
      </c>
      <c r="C59" t="inlineStr">
        <is>
          <t>spillover</t>
        </is>
      </c>
      <c r="D59" s="2" t="inlineStr">
        <is>
          <t>Japan debut album sold 9,383 physical copies on Oricon Daily, 15,910 units on the Oricon Weekly Chart, and 20,041 units on Billboard Japan Top Albums Sales</t>
        </is>
      </c>
      <c r="E59" t="inlineStr"/>
      <c r="F59" t="inlineStr">
        <is>
          <t>N</t>
        </is>
      </c>
      <c r="G59" t="inlineStr"/>
      <c r="H59" s="6" t="inlineStr"/>
      <c r="I59" t="inlineStr"/>
      <c r="J59" t="inlineStr"/>
      <c r="K59" t="inlineStr"/>
    </row>
    <row r="60">
      <c r="A60" t="n">
        <v>59</v>
      </c>
      <c r="B60" t="inlineStr">
        <is>
          <t>DAY6</t>
        </is>
      </c>
      <c r="C60" t="inlineStr">
        <is>
          <t>loyalty</t>
        </is>
      </c>
      <c r="D60" s="2" t="inlineStr">
        <is>
          <t>2025년 'Forever Young' 마닐라 콘서트를 마치며 '너희들 정말 대단했다'고 밝힘</t>
        </is>
      </c>
      <c r="E60" t="inlineStr"/>
      <c r="F60" t="inlineStr">
        <is>
          <t>N</t>
        </is>
      </c>
      <c r="G60" t="inlineStr"/>
      <c r="H60" s="6" t="inlineStr"/>
      <c r="I60" t="inlineStr"/>
      <c r="J60" t="inlineStr"/>
      <c r="K60" t="inlineStr"/>
    </row>
    <row r="61">
      <c r="A61" t="n">
        <v>60</v>
      </c>
      <c r="B61" t="inlineStr">
        <is>
          <t>청하</t>
        </is>
      </c>
      <c r="C61" t="inlineStr">
        <is>
          <t>spillover</t>
        </is>
      </c>
      <c r="D61" s="2" t="inlineStr">
        <is>
          <t>청하는 2019년 tvN 드라마 '호텔 델루나' OST Part.6에 수록곡 '그 끝에 그대(At the End)'를 불렀으며, 이 곡은 'Hotel Del Luna OST Part.6' 싱글로 Spotify에 정식 등재되어 있다.</t>
        </is>
      </c>
      <c r="E61" t="inlineStr"/>
      <c r="F61" t="inlineStr">
        <is>
          <t>N</t>
        </is>
      </c>
      <c r="G61" t="inlineStr"/>
      <c r="H61" s="6" t="inlineStr"/>
      <c r="I61" t="inlineStr"/>
      <c r="J61" t="inlineStr"/>
      <c r="K61" t="inlineStr"/>
    </row>
    <row r="62">
      <c r="A62" t="n">
        <v>61</v>
      </c>
      <c r="B62" t="inlineStr">
        <is>
          <t>NCT</t>
        </is>
      </c>
      <c r="C62" t="inlineStr">
        <is>
          <t>loyalty</t>
        </is>
      </c>
      <c r="D62" s="2" t="inlineStr">
        <is>
          <t>중국 포털 360엔터(360娱乐)에 웨이신V(威神V, WayV) 멤버 샤오쥔(肖德俊, Xiaojun)이 한국 SBS M 음악방송 《THE SHOW》의 새 MC로 발탁됐다는 소식이 실렸고, 웨이보 해시태그 "#肖俊将担任THESHOWMC#"(샤오쥔, THE SHOW MC 맡는다)가 화제가 되어 팬들이 "祝贺肖俊"(샤오쥔 축하해), "期待MC肖俊"(MC 샤오쥔 기대돼) 등의 댓글을 남겼다고 전했다.</t>
        </is>
      </c>
      <c r="E62" t="inlineStr"/>
      <c r="F62" t="inlineStr">
        <is>
          <t>N</t>
        </is>
      </c>
      <c r="G62" t="inlineStr"/>
      <c r="H62" s="6" t="inlineStr"/>
      <c r="I62" t="inlineStr"/>
      <c r="J62" t="inlineStr"/>
      <c r="K62" t="inlineStr"/>
    </row>
    <row r="63">
      <c r="A63" t="n">
        <v>62</v>
      </c>
      <c r="B63" t="inlineStr">
        <is>
          <t>최예나</t>
        </is>
      </c>
      <c r="C63" t="inlineStr">
        <is>
          <t>loyalty</t>
        </is>
      </c>
      <c r="D63" s="2" t="inlineStr">
        <is>
          <t>인도네시아 K팝 매체 kpopchart.net이 최예나의 4집 미니앨범 'Blooming Wings'(2025.7.29 발매) 컴백과 연계해 도쿄·오사카 콘서트 소식을 전하며 팬들과의 교감을 강화하는 인터랙티브 이벤트를 예고함.</t>
        </is>
      </c>
      <c r="E63" t="inlineStr"/>
      <c r="F63" t="inlineStr">
        <is>
          <t>N</t>
        </is>
      </c>
      <c r="G63" t="inlineStr"/>
      <c r="H63" s="6" t="inlineStr"/>
      <c r="I63" t="inlineStr"/>
      <c r="J63" t="inlineStr"/>
      <c r="K63" t="inlineStr"/>
    </row>
    <row r="64">
      <c r="A64" t="n">
        <v>63</v>
      </c>
      <c r="B64" t="inlineStr">
        <is>
          <t>IVE</t>
        </is>
      </c>
      <c r="C64" t="inlineStr">
        <is>
          <t>spillover</t>
        </is>
      </c>
      <c r="D64" s="2" t="inlineStr">
        <is>
          <t>IVE 안유진·장원영이 유닛 '안녕즈'로 2025년 1월 15일 tvN '유 퀴즈 온 더 블럭'에 출연했다.</t>
        </is>
      </c>
      <c r="E64" t="inlineStr"/>
      <c r="F64" t="inlineStr">
        <is>
          <t>N</t>
        </is>
      </c>
      <c r="G64" t="inlineStr"/>
      <c r="H64" s="6" t="inlineStr"/>
      <c r="I64" t="inlineStr"/>
      <c r="J64" t="inlineStr"/>
      <c r="K64" t="inlineStr"/>
    </row>
    <row r="65">
      <c r="A65" t="n">
        <v>64</v>
      </c>
      <c r="B65" t="inlineStr">
        <is>
          <t>NCT</t>
        </is>
      </c>
      <c r="C65" t="inlineStr">
        <is>
          <t>loyalty</t>
        </is>
      </c>
      <c r="D65" s="2" t="inlineStr">
        <is>
          <t>NCT is the best-selling K-pop artist by cumulative album sales in Korea, with over 45 million albums sold across all sub-units as of June 2024</t>
        </is>
      </c>
      <c r="E65" t="inlineStr"/>
      <c r="F65" t="inlineStr">
        <is>
          <t>N</t>
        </is>
      </c>
      <c r="G65" t="inlineStr"/>
      <c r="H65" s="6" t="inlineStr"/>
      <c r="I65" t="inlineStr"/>
      <c r="J65" t="inlineStr"/>
      <c r="K65" t="inlineStr"/>
    </row>
    <row r="66">
      <c r="A66" t="n">
        <v>65</v>
      </c>
      <c r="B66" t="inlineStr">
        <is>
          <t>청하</t>
        </is>
      </c>
      <c r="C66" t="inlineStr">
        <is>
          <t>loyalty</t>
        </is>
      </c>
      <c r="D66" s="2" t="inlineStr">
        <is>
          <t>청하는 2020년 2월 10일 자신의 생일을 기념해 저소득층 아동을 위해 마스크 1만 장을 기부했다.</t>
        </is>
      </c>
      <c r="E66" t="inlineStr"/>
      <c r="F66" t="inlineStr">
        <is>
          <t>N</t>
        </is>
      </c>
      <c r="G66" t="inlineStr"/>
      <c r="H66" s="6" t="inlineStr"/>
      <c r="I66" t="inlineStr"/>
      <c r="J66" t="inlineStr"/>
      <c r="K66" t="inlineStr"/>
    </row>
    <row r="67">
      <c r="A67" t="n">
        <v>66</v>
      </c>
      <c r="B67" t="inlineStr">
        <is>
          <t>아일릿</t>
        </is>
      </c>
      <c r="C67" t="inlineStr">
        <is>
          <t>loyalty</t>
        </is>
      </c>
      <c r="D67" s="2" t="inlineStr">
        <is>
          <t>ILLIT, 수호(EXO), 엔하이픈이 자카르타 PIK에서 보여준 최고의 순간들.</t>
        </is>
      </c>
      <c r="E67" t="inlineStr"/>
      <c r="F67" t="inlineStr">
        <is>
          <t>N</t>
        </is>
      </c>
      <c r="G67" t="inlineStr"/>
      <c r="H67" s="6" t="inlineStr"/>
      <c r="I67" t="inlineStr"/>
      <c r="J67" t="inlineStr"/>
      <c r="K67" t="inlineStr"/>
    </row>
    <row r="68">
      <c r="A68" t="n">
        <v>67</v>
      </c>
      <c r="B68" t="inlineStr">
        <is>
          <t>거미</t>
        </is>
      </c>
      <c r="C68" t="inlineStr">
        <is>
          <t>spillover</t>
        </is>
      </c>
      <c r="D68" s="2" t="inlineStr">
        <is>
          <t>2003년 데뷔곡('안다면', '어디에서든' 등으로 추정되는 곡들 포함)이 20년이 지난 지금까지도 노래방 인기차트에 꾸준히 오르는 스테디셀러로 자리잡음</t>
        </is>
      </c>
      <c r="E68" t="inlineStr"/>
      <c r="F68" t="inlineStr">
        <is>
          <t>N</t>
        </is>
      </c>
      <c r="G68" t="inlineStr"/>
      <c r="H68" s="6" t="inlineStr"/>
      <c r="I68" t="inlineStr"/>
      <c r="J68" t="inlineStr"/>
      <c r="K68" t="inlineStr"/>
    </row>
    <row r="69">
      <c r="A69" t="n">
        <v>68</v>
      </c>
      <c r="B69" t="inlineStr">
        <is>
          <t>임영웅</t>
        </is>
      </c>
      <c r="C69" t="inlineStr">
        <is>
          <t>loyalty</t>
        </is>
      </c>
      <c r="D69" s="2" t="inlineStr">
        <is>
          <t>팬카페 '영웅시대' 공식 회원수가 21만 명을 달성했다.</t>
        </is>
      </c>
      <c r="E69" t="inlineStr"/>
      <c r="F69" t="inlineStr">
        <is>
          <t>N</t>
        </is>
      </c>
      <c r="G69" t="inlineStr"/>
      <c r="H69" s="6" t="inlineStr"/>
      <c r="I69" t="inlineStr"/>
      <c r="J69" t="inlineStr"/>
      <c r="K69" t="inlineStr"/>
    </row>
    <row r="70">
      <c r="A70" s="7" t="n">
        <v>69</v>
      </c>
      <c r="B70" s="7" t="inlineStr">
        <is>
          <t>리센느(RESCENE)</t>
        </is>
      </c>
      <c r="C70" s="7" t="inlineStr">
        <is>
          <t>spillover</t>
        </is>
      </c>
      <c r="D70" s="8" t="inlineStr">
        <is>
          <t>철원 다슬기축제 현장에서 당시는 다소 생소한 그룹이었음에도 관객들이 뜨겁게 호응하며 앙코르 무대까지 이끌어냈고, 현재는 축제에 섭외하기도 힘들 만큼 인기 스타가 됐다는 대비를 전한 기사(네티즌 반응 인용 포함).</t>
        </is>
      </c>
      <c r="E70" s="7" t="inlineStr"/>
      <c r="F70" s="7" t="inlineStr">
        <is>
          <t>Y</t>
        </is>
      </c>
      <c r="G70" s="7" t="inlineStr">
        <is>
          <t>철원(강원) 다슬기축제 — 철원 없음</t>
        </is>
      </c>
      <c r="H70" s="7" t="inlineStr"/>
      <c r="I70" s="7" t="inlineStr"/>
      <c r="J70" s="7" t="inlineStr"/>
      <c r="K70" s="7" t="inlineStr"/>
    </row>
    <row r="71">
      <c r="A71" t="n">
        <v>70</v>
      </c>
      <c r="B71" t="inlineStr">
        <is>
          <t>A-pink</t>
        </is>
      </c>
      <c r="C71" t="inlineStr">
        <is>
          <t>spillover</t>
        </is>
      </c>
      <c r="D71" s="2" t="inlineStr">
        <is>
          <t>에이핑크 박초롱은 웹시리즈 '종합광고대행사: 찌찌' 시즌2 '광고의 온도' 편에 찌찌팀을 조율하는 중심인물 '민주' 역으로 합류하며, 2026년 하반기 주요 OTT 플랫폼 공개를 앞두고 있다.</t>
        </is>
      </c>
      <c r="E71" t="inlineStr"/>
      <c r="F71" t="inlineStr">
        <is>
          <t>N</t>
        </is>
      </c>
      <c r="G71" t="inlineStr"/>
      <c r="H71" s="6" t="inlineStr"/>
      <c r="I71" t="inlineStr"/>
      <c r="J71" t="inlineStr"/>
      <c r="K71" t="inlineStr"/>
    </row>
    <row r="72">
      <c r="A72" t="n">
        <v>71</v>
      </c>
      <c r="B72" t="inlineStr">
        <is>
          <t>NewJeans</t>
        </is>
      </c>
      <c r="C72" t="inlineStr">
        <is>
          <t>spillover</t>
        </is>
      </c>
      <c r="D72" s="2" t="inlineStr">
        <is>
          <t>NewJeans는 2023년 1월 NME의 'Big Read' 커버 인터뷰를 장식했으며, 앞서 NME의 '2023년 주목할 신인 아티스트 100' 명단에도 이름을 올렸다.</t>
        </is>
      </c>
      <c r="E72" t="inlineStr"/>
      <c r="F72" t="inlineStr">
        <is>
          <t>N</t>
        </is>
      </c>
      <c r="G72" t="inlineStr"/>
      <c r="H72" s="6" t="inlineStr"/>
      <c r="I72" t="inlineStr"/>
      <c r="J72" t="inlineStr"/>
      <c r="K72" t="inlineStr"/>
    </row>
    <row r="73">
      <c r="A73" t="n">
        <v>72</v>
      </c>
      <c r="B73" t="inlineStr">
        <is>
          <t>거미</t>
        </is>
      </c>
      <c r="C73" t="inlineStr">
        <is>
          <t>spillover</t>
        </is>
      </c>
      <c r="D73" s="2" t="inlineStr">
        <is>
          <t>거미는 2015년 JTBC '히든싱어4'에 원조 가수로 출연해 우승을 차지했다.</t>
        </is>
      </c>
      <c r="E73" t="inlineStr"/>
      <c r="F73" t="inlineStr">
        <is>
          <t>N</t>
        </is>
      </c>
      <c r="G73" t="inlineStr"/>
      <c r="H73" s="6" t="inlineStr"/>
      <c r="I73" t="inlineStr"/>
      <c r="J73" t="inlineStr"/>
      <c r="K73" t="inlineStr"/>
    </row>
    <row r="74">
      <c r="A74" t="n">
        <v>73</v>
      </c>
      <c r="B74" t="inlineStr">
        <is>
          <t>BABYMONSTER</t>
        </is>
      </c>
      <c r="C74" t="inlineStr">
        <is>
          <t>spillover</t>
        </is>
      </c>
      <c r="D74" s="2" t="inlineStr">
        <is>
          <t>스포츠경향, 태국 강진 관련 재태 K팝 스타 애도 메시지 기사에서 치키타를 태국 출신 스타로 거론(2025.3.30)</t>
        </is>
      </c>
      <c r="E74" t="inlineStr"/>
      <c r="F74" t="inlineStr">
        <is>
          <t>N</t>
        </is>
      </c>
      <c r="G74" t="inlineStr"/>
      <c r="H74" s="6" t="inlineStr"/>
      <c r="I74" t="inlineStr"/>
      <c r="J74" t="inlineStr"/>
      <c r="K74" t="inlineStr"/>
    </row>
    <row r="75">
      <c r="A75" t="n">
        <v>74</v>
      </c>
      <c r="B75" t="inlineStr">
        <is>
          <t>BTOB</t>
        </is>
      </c>
      <c r="C75" t="inlineStr">
        <is>
          <t>loyalty</t>
        </is>
      </c>
      <c r="D75" s="2" t="inlineStr">
        <is>
          <t>아랍어 팬사이트 'BToB Arab Melodies'가 BTOB 관련 57가지 사실을 정리하며 멤버 일훈이 복싱에 능하고 데뷔 전 팀명이 '아리랑'이었으며 현식이 EXO 디오와 친분이 있다는 내용을 아랍어로 다룸(WebFetch로 확인).</t>
        </is>
      </c>
      <c r="E75" t="inlineStr"/>
      <c r="F75" t="inlineStr">
        <is>
          <t>N</t>
        </is>
      </c>
      <c r="G75" t="inlineStr"/>
      <c r="H75" s="6" t="inlineStr"/>
      <c r="I75" t="inlineStr"/>
      <c r="J75" t="inlineStr"/>
      <c r="K75" t="inlineStr"/>
    </row>
    <row r="76">
      <c r="A76" t="n">
        <v>75</v>
      </c>
      <c r="B76" t="inlineStr">
        <is>
          <t>정동원</t>
        </is>
      </c>
      <c r="C76" t="inlineStr">
        <is>
          <t>spillover</t>
        </is>
      </c>
      <c r="D76" s="2" t="inlineStr">
        <is>
          <t>allkpop은 정동원이 드라마 '절대 포기하지 마' OST 'Alright' 작사에 참여해 월 약 300만 원의 저작권료를 받고 있다고 전했다.</t>
        </is>
      </c>
      <c r="E76" t="inlineStr"/>
      <c r="F76" t="inlineStr">
        <is>
          <t>N</t>
        </is>
      </c>
      <c r="G76" t="inlineStr"/>
      <c r="H76" s="6" t="inlineStr"/>
      <c r="I76" t="inlineStr"/>
      <c r="J76" t="inlineStr"/>
      <c r="K76" t="inlineStr"/>
    </row>
    <row r="77">
      <c r="A77" t="n">
        <v>76</v>
      </c>
      <c r="B77" t="inlineStr">
        <is>
          <t>임영웅</t>
        </is>
      </c>
      <c r="C77" t="inlineStr">
        <is>
          <t>spillover</t>
        </is>
      </c>
      <c r="D77" s="2" t="inlineStr">
        <is>
          <t>임영웅이 건강기능식품 브랜드 뉴트리원의 전속모델로 발탁됐다고 국제뉴스가 보도했다. 2021년 3월 발탁 소식이 공개됐다.</t>
        </is>
      </c>
      <c r="E77" t="inlineStr"/>
      <c r="F77" t="inlineStr">
        <is>
          <t>N</t>
        </is>
      </c>
      <c r="G77" t="inlineStr"/>
      <c r="H77" s="6" t="inlineStr"/>
      <c r="I77" t="inlineStr"/>
      <c r="J77" t="inlineStr"/>
      <c r="K77" t="inlineStr"/>
    </row>
    <row r="78">
      <c r="A78" t="n">
        <v>77</v>
      </c>
      <c r="B78" t="inlineStr">
        <is>
          <t>임영웅</t>
        </is>
      </c>
      <c r="C78" t="inlineStr">
        <is>
          <t>loyalty</t>
        </is>
      </c>
      <c r="D78" s="2" t="inlineStr">
        <is>
          <t>임영웅 팬클럽 '영웅시대'는 2025년 8월 앨범 구입비 300만 원을 성금으로 기부했다.</t>
        </is>
      </c>
      <c r="E78" t="inlineStr"/>
      <c r="F78" t="inlineStr">
        <is>
          <t>N</t>
        </is>
      </c>
      <c r="G78" t="inlineStr"/>
      <c r="H78" s="6" t="inlineStr"/>
      <c r="I78" t="inlineStr"/>
      <c r="J78" t="inlineStr"/>
      <c r="K78" t="inlineStr"/>
    </row>
    <row r="79">
      <c r="A79" t="n">
        <v>78</v>
      </c>
      <c r="B79" t="inlineStr">
        <is>
          <t>레드벨벳</t>
        </is>
      </c>
      <c r="C79" t="inlineStr">
        <is>
          <t>spillover</t>
        </is>
      </c>
      <c r="D79" s="2" t="inlineStr">
        <is>
          <t>레드벨벳 슬기가 K-POP 아티스트 최초로 이탈리아 럭셔리 브랜드 살바토레 페라가모의 '글로벌 앰버서더'로 발탁돼 슈즈 캡슐 컬렉션 'Let's Dance' 캠페인에 참여했다(2021년).</t>
        </is>
      </c>
      <c r="E79" t="inlineStr"/>
      <c r="F79" t="inlineStr">
        <is>
          <t>N</t>
        </is>
      </c>
      <c r="G79" t="inlineStr"/>
      <c r="H79" s="6" t="inlineStr"/>
      <c r="I79" t="inlineStr"/>
      <c r="J79" t="inlineStr"/>
      <c r="K79" t="inlineStr"/>
    </row>
    <row r="80">
      <c r="A80" t="n">
        <v>79</v>
      </c>
      <c r="B80" t="inlineStr">
        <is>
          <t>BTS</t>
        </is>
      </c>
      <c r="C80" t="inlineStr">
        <is>
          <t>loyalty</t>
        </is>
      </c>
      <c r="D80" s="2" t="inlineStr">
        <is>
          <t>정규앨범 'Arirang'이 자체 데뷔 기록을 갈아치우며 초동 판매량 417만장을 기록했다.</t>
        </is>
      </c>
      <c r="E80" t="inlineStr"/>
      <c r="F80" t="inlineStr">
        <is>
          <t>N</t>
        </is>
      </c>
      <c r="G80" t="inlineStr"/>
      <c r="H80" s="6" t="inlineStr"/>
      <c r="I80" t="inlineStr"/>
      <c r="J80" t="inlineStr"/>
      <c r="K80" t="inlineStr"/>
    </row>
    <row r="81">
      <c r="A81" t="n">
        <v>80</v>
      </c>
      <c r="B81" t="inlineStr">
        <is>
          <t>다이나믹듀오</t>
        </is>
      </c>
      <c r="C81" t="inlineStr">
        <is>
          <t>spillover</t>
        </is>
      </c>
      <c r="D81" s="2" t="inlineStr">
        <is>
          <t>최자, '최자로드' 유튜브 채널 독립 운영 관련 밝혀, 맛집 소개 콘텐츠로 지역 상권에 영향력 행사</t>
        </is>
      </c>
      <c r="E81" t="inlineStr"/>
      <c r="F81" t="inlineStr">
        <is>
          <t>N</t>
        </is>
      </c>
      <c r="G81" t="inlineStr"/>
      <c r="H81" s="6" t="inlineStr"/>
      <c r="I81" t="inlineStr"/>
      <c r="J81" t="inlineStr"/>
      <c r="K81" t="inlineStr"/>
    </row>
    <row r="82">
      <c r="A82" t="n">
        <v>81</v>
      </c>
      <c r="B82" t="inlineStr">
        <is>
          <t>아일릿</t>
        </is>
      </c>
      <c r="C82" t="inlineStr">
        <is>
          <t>spillover</t>
        </is>
      </c>
      <c r="D82" s="2" t="inlineStr">
        <is>
          <t>Oricon.co.jp published news coverage of ILLIT releasing solo visuals for "Almond Chocolate," described as their first original song made specifically for the Japanese market.</t>
        </is>
      </c>
      <c r="E82" t="inlineStr"/>
      <c r="F82" t="inlineStr">
        <is>
          <t>N</t>
        </is>
      </c>
      <c r="G82" t="inlineStr"/>
      <c r="H82" s="6" t="inlineStr"/>
      <c r="I82" t="inlineStr"/>
      <c r="J82" t="inlineStr"/>
      <c r="K82" t="inlineStr"/>
    </row>
    <row r="83">
      <c r="A83" t="n">
        <v>82</v>
      </c>
      <c r="B83" t="inlineStr">
        <is>
          <t>박정현</t>
        </is>
      </c>
      <c r="C83" t="inlineStr">
        <is>
          <t>spillover</t>
        </is>
      </c>
      <c r="D83" s="2" t="inlineStr">
        <is>
          <t>박정현이 KBS2 '불후의 명곡' 특집(2025.10.11 방송)에 출연해 연인과 이별 후 사진 속 옷들을 버렸던 사연을 공개했다.</t>
        </is>
      </c>
      <c r="E83" t="inlineStr"/>
      <c r="F83" t="inlineStr">
        <is>
          <t>N</t>
        </is>
      </c>
      <c r="G83" t="inlineStr"/>
      <c r="H83" s="6" t="inlineStr"/>
      <c r="I83" t="inlineStr"/>
      <c r="J83" t="inlineStr"/>
      <c r="K83" t="inlineStr"/>
    </row>
    <row r="84">
      <c r="A84" t="n">
        <v>83</v>
      </c>
      <c r="B84" t="inlineStr">
        <is>
          <t>로이킴</t>
        </is>
      </c>
      <c r="C84" t="inlineStr">
        <is>
          <t>spillover</t>
        </is>
      </c>
      <c r="D84" s="2" t="inlineStr">
        <is>
          <t>로이킴이 노숙인 자활을 지원하는 사회적기업 매거진 '빅이슈 코리아'에 2014년 8월(90호), 2018년 12월(192호) 두 차례 재능기부 형태로 참여했다.</t>
        </is>
      </c>
      <c r="E84" t="inlineStr"/>
      <c r="F84" t="inlineStr">
        <is>
          <t>N</t>
        </is>
      </c>
      <c r="G84" t="inlineStr"/>
      <c r="H84" s="6" t="inlineStr"/>
      <c r="I84" t="inlineStr"/>
      <c r="J84" t="inlineStr"/>
      <c r="K84" t="inlineStr"/>
    </row>
    <row r="85">
      <c r="A85" t="n">
        <v>84</v>
      </c>
      <c r="B85" t="inlineStr">
        <is>
          <t>잭스키스</t>
        </is>
      </c>
      <c r="C85" t="inlineStr">
        <is>
          <t>loyalty</t>
        </is>
      </c>
      <c r="D85" s="2" t="inlineStr">
        <is>
          <t>젝스키스 은지원 팬카페가 2017년 6월 8일 한국백혈병어린이재단을 통해 소아암 환아 치료비로 120만원을 기부했으며, 이는 2016년 12월 은지원 컴백 기념 200만원 기부에 이은 두 번째 기부다</t>
        </is>
      </c>
      <c r="E85" t="inlineStr"/>
      <c r="F85" t="inlineStr">
        <is>
          <t>N</t>
        </is>
      </c>
      <c r="G85" t="inlineStr"/>
      <c r="H85" s="6" t="inlineStr"/>
      <c r="I85" t="inlineStr"/>
      <c r="J85" t="inlineStr"/>
      <c r="K85" t="inlineStr"/>
    </row>
    <row r="86">
      <c r="A86" t="n">
        <v>85</v>
      </c>
      <c r="B86" t="inlineStr">
        <is>
          <t>아이오아이</t>
        </is>
      </c>
      <c r="C86" t="inlineStr">
        <is>
          <t>spillover</t>
        </is>
      </c>
      <c r="D86" s="2" t="inlineStr">
        <is>
          <t>"Very Very Very" was their first #1 hit with 1,319,944 downloads; "Miss Me?" EP sold 652,321 copies in Korea</t>
        </is>
      </c>
      <c r="E86" t="inlineStr"/>
      <c r="F86" t="inlineStr">
        <is>
          <t>N</t>
        </is>
      </c>
      <c r="G86" t="inlineStr"/>
      <c r="H86" s="6" t="inlineStr"/>
      <c r="I86" t="inlineStr"/>
      <c r="J86" t="inlineStr"/>
      <c r="K86" t="inlineStr"/>
    </row>
    <row r="87">
      <c r="A87" t="n">
        <v>86</v>
      </c>
      <c r="B87" t="inlineStr">
        <is>
          <t>GOT7</t>
        </is>
      </c>
      <c r="C87" t="inlineStr">
        <is>
          <t>loyalty</t>
        </is>
      </c>
      <c r="D87" s="2" t="inlineStr">
        <is>
          <t>2022년 완전체 컴백 미니앨범 'GOT7'은 초동 판매량 37만 1500장을 기록하며 갓세븐 자체 최고 기록을 경신했다.</t>
        </is>
      </c>
      <c r="E87" t="inlineStr"/>
      <c r="F87" t="inlineStr">
        <is>
          <t>N</t>
        </is>
      </c>
      <c r="G87" t="inlineStr"/>
      <c r="H87" s="6" t="inlineStr"/>
      <c r="I87" t="inlineStr"/>
      <c r="J87" t="inlineStr"/>
      <c r="K87" t="inlineStr"/>
    </row>
    <row r="88">
      <c r="A88" t="n">
        <v>87</v>
      </c>
      <c r="B88" t="inlineStr">
        <is>
          <t>LE SSERAFIM</t>
        </is>
      </c>
      <c r="C88" t="inlineStr">
        <is>
          <t>loyalty</t>
        </is>
      </c>
      <c r="D88" s="2" t="inlineStr">
        <is>
          <t>나무위키 및 나마네카드 블로그에 따르면 르세라핌이 2026년 9월 11일 자정(한국시간) 두 번째 싱글 앨범 &lt;Made My Night&gt;의 타이틀곡 'YOU JUST MADE MY NIGHT' 뮤직비디오를 공개하고 같은 날 오후 1시 음원을 발매하며 완전체로 컴백했다.</t>
        </is>
      </c>
      <c r="E88" t="inlineStr"/>
      <c r="F88" t="inlineStr">
        <is>
          <t>N</t>
        </is>
      </c>
      <c r="G88" t="inlineStr"/>
      <c r="H88" s="6" t="inlineStr"/>
      <c r="I88" t="inlineStr"/>
      <c r="J88" t="inlineStr"/>
      <c r="K88" t="inlineStr"/>
    </row>
    <row r="89">
      <c r="A89" t="n">
        <v>88</v>
      </c>
      <c r="B89" t="inlineStr">
        <is>
          <t>Hearts2Hearts</t>
        </is>
      </c>
      <c r="C89" t="inlineStr">
        <is>
          <t>spillover</t>
        </is>
      </c>
      <c r="D89" s="2" t="inlineStr">
        <is>
          <t>Swept 7 separate Rookie of the Year awards in 2025</t>
        </is>
      </c>
      <c r="E89" t="inlineStr"/>
      <c r="F89" t="inlineStr">
        <is>
          <t>N</t>
        </is>
      </c>
      <c r="G89" t="inlineStr"/>
      <c r="H89" s="6" t="inlineStr"/>
      <c r="I89" t="inlineStr"/>
      <c r="J89" t="inlineStr"/>
      <c r="K89" t="inlineStr"/>
    </row>
    <row r="90">
      <c r="A90" t="n">
        <v>89</v>
      </c>
      <c r="B90" t="inlineStr">
        <is>
          <t>동방신기</t>
        </is>
      </c>
      <c r="C90" t="inlineStr">
        <is>
          <t>spillover</t>
        </is>
      </c>
      <c r="D90" s="2" t="inlineStr">
        <is>
          <t>東方神起が3度目の日産スタジアム公演を開催、海外アーティスト史上最多</t>
        </is>
      </c>
      <c r="E90" t="inlineStr"/>
      <c r="F90" t="inlineStr">
        <is>
          <t>N</t>
        </is>
      </c>
      <c r="G90" t="inlineStr"/>
      <c r="H90" s="6" t="inlineStr"/>
      <c r="I90" t="inlineStr"/>
      <c r="J90" t="inlineStr"/>
      <c r="K90" t="inlineStr"/>
    </row>
    <row r="91">
      <c r="A91" t="n">
        <v>90</v>
      </c>
      <c r="B91" t="inlineStr">
        <is>
          <t>비비</t>
        </is>
      </c>
      <c r="C91" t="inlineStr">
        <is>
          <t>loyalty</t>
        </is>
      </c>
      <c r="D91" s="2" t="inlineStr">
        <is>
          <t>BIBI '1st World Tour EVE in Bangkok' 개최 소식</t>
        </is>
      </c>
      <c r="E91" t="inlineStr"/>
      <c r="F91" t="inlineStr">
        <is>
          <t>N</t>
        </is>
      </c>
      <c r="G91" t="inlineStr"/>
      <c r="H91" s="6" t="inlineStr"/>
      <c r="I91" t="inlineStr"/>
      <c r="J91" t="inlineStr"/>
      <c r="K91" t="inlineStr"/>
    </row>
    <row r="92">
      <c r="A92" t="n">
        <v>91</v>
      </c>
      <c r="B92" t="inlineStr">
        <is>
          <t>카더가든</t>
        </is>
      </c>
      <c r="C92" t="inlineStr">
        <is>
          <t>loyalty</t>
        </is>
      </c>
      <c r="D92" s="2" t="inlineStr">
        <is>
          <t>His personal YouTube channel "카더정원" (@carthejungwon) has 1.3 million subscribers (Aug 2026) and posts on a fixed schedule (10th/20th/30th of each month, 7PM); its board-game series regularly exceeds 1 million views per video, reflecting strong repeat-viewership loyalty</t>
        </is>
      </c>
      <c r="E92" t="inlineStr"/>
      <c r="F92" t="inlineStr">
        <is>
          <t>N</t>
        </is>
      </c>
      <c r="G92" t="inlineStr"/>
      <c r="H92" s="6" t="inlineStr"/>
      <c r="I92" t="inlineStr"/>
      <c r="J92" t="inlineStr"/>
      <c r="K92" t="inlineStr"/>
    </row>
    <row r="93">
      <c r="A93" t="n">
        <v>92</v>
      </c>
      <c r="B93" t="inlineStr">
        <is>
          <t>aespa</t>
        </is>
      </c>
      <c r="C93" t="inlineStr">
        <is>
          <t>loyalty</t>
        </is>
      </c>
      <c r="D93" s="2" t="inlineStr">
        <is>
          <t>3집 'My World'(2023)는 200만 장 이상 판매됐다.</t>
        </is>
      </c>
      <c r="E93" t="inlineStr"/>
      <c r="F93" t="inlineStr">
        <is>
          <t>N</t>
        </is>
      </c>
      <c r="G93" t="inlineStr"/>
      <c r="H93" s="6" t="inlineStr"/>
      <c r="I93" t="inlineStr"/>
      <c r="J93" t="inlineStr"/>
      <c r="K93" t="inlineStr"/>
    </row>
    <row r="94">
      <c r="A94" t="n">
        <v>93</v>
      </c>
      <c r="B94" t="inlineStr">
        <is>
          <t>LE SSERAFIM</t>
        </is>
      </c>
      <c r="C94" t="inlineStr">
        <is>
          <t>spillover</t>
        </is>
      </c>
      <c r="D94" s="2" t="inlineStr">
        <is>
          <t>Infobae Mexico reported rumors of a potential collaboration between Mexican artist Peso Pluma and LE SSERAFIM, mainstream cross-genre music-press coverage</t>
        </is>
      </c>
      <c r="E94" t="inlineStr"/>
      <c r="F94" t="inlineStr">
        <is>
          <t>N</t>
        </is>
      </c>
      <c r="G94" t="inlineStr"/>
      <c r="H94" s="6" t="inlineStr"/>
      <c r="I94" t="inlineStr"/>
      <c r="J94" t="inlineStr"/>
      <c r="K94" t="inlineStr"/>
    </row>
    <row r="95">
      <c r="A95" t="n">
        <v>94</v>
      </c>
      <c r="B95" t="inlineStr">
        <is>
          <t>god</t>
        </is>
      </c>
      <c r="C95" t="inlineStr">
        <is>
          <t>loyalty</t>
        </is>
      </c>
      <c r="D95" s="2" t="inlineStr">
        <is>
          <t>2023년 8월 god 콘서트 'ㅇㅁㄷ 지오디' 티켓이 오후 2시 예매 시작 후 단 3분 만에 전석 매진됐으며, 예매 시스템에는 최대 5만 1900명의 대기 인원이 몰렸다.</t>
        </is>
      </c>
      <c r="E95" t="inlineStr"/>
      <c r="F95" t="inlineStr">
        <is>
          <t>N</t>
        </is>
      </c>
      <c r="G95" t="inlineStr"/>
      <c r="H95" s="6" t="inlineStr"/>
      <c r="I95" t="inlineStr"/>
      <c r="J95" t="inlineStr"/>
      <c r="K95" t="inlineStr"/>
    </row>
    <row r="96">
      <c r="A96" t="n">
        <v>95</v>
      </c>
      <c r="B96" t="inlineStr">
        <is>
          <t>싸이</t>
        </is>
      </c>
      <c r="C96" t="inlineStr">
        <is>
          <t>spillover</t>
        </is>
      </c>
      <c r="D96" s="2" t="inlineStr">
        <is>
          <t>동화약품이 가수 싸이를 종합감기약 '판콜' 신규 TV광고 모델로 발탁해 '감기없는 코리아, 판 콜이야' 캠페인을 공개했다(2023년 9월).</t>
        </is>
      </c>
      <c r="E96" t="inlineStr"/>
      <c r="F96" t="inlineStr">
        <is>
          <t>N</t>
        </is>
      </c>
      <c r="G96" t="inlineStr"/>
      <c r="H96" s="6" t="inlineStr"/>
      <c r="I96" t="inlineStr"/>
      <c r="J96" t="inlineStr"/>
      <c r="K96" t="inlineStr"/>
    </row>
    <row r="97">
      <c r="A97" t="n">
        <v>96</v>
      </c>
      <c r="B97" t="inlineStr">
        <is>
          <t>ITZY</t>
        </is>
      </c>
      <c r="C97" t="inlineStr">
        <is>
          <t>spillover</t>
        </is>
      </c>
      <c r="D97" s="2" t="inlineStr">
        <is>
          <t>ITZY 유나가 2026년 tvN 드라마 '최애의 사원'에 캐스팅되어 톱배우 윤초이 역을 맡았다.</t>
        </is>
      </c>
      <c r="E97" t="inlineStr"/>
      <c r="F97" t="inlineStr">
        <is>
          <t>N</t>
        </is>
      </c>
      <c r="G97" t="inlineStr"/>
      <c r="H97" s="6" t="inlineStr"/>
      <c r="I97" t="inlineStr"/>
      <c r="J97" t="inlineStr"/>
      <c r="K97" t="inlineStr"/>
    </row>
    <row r="98">
      <c r="A98" t="n">
        <v>97</v>
      </c>
      <c r="B98" t="inlineStr">
        <is>
          <t>이찬원</t>
        </is>
      </c>
      <c r="C98" t="inlineStr">
        <is>
          <t>spillover</t>
        </is>
      </c>
      <c r="D98" s="2" t="inlineStr">
        <is>
          <t>이찬원 유튜브 채널이 누적 조회수 6억 뷰를 돌파했다는 소식이 보도됐다(2026년 6월 30일 기준).</t>
        </is>
      </c>
      <c r="E98" t="inlineStr"/>
      <c r="F98" t="inlineStr">
        <is>
          <t>N</t>
        </is>
      </c>
      <c r="G98" t="inlineStr"/>
      <c r="H98" s="6" t="inlineStr"/>
      <c r="I98" t="inlineStr"/>
      <c r="J98" t="inlineStr"/>
      <c r="K98" t="inlineStr"/>
    </row>
    <row r="99">
      <c r="A99" t="n">
        <v>98</v>
      </c>
      <c r="B99" t="inlineStr">
        <is>
          <t>보아</t>
        </is>
      </c>
      <c r="C99" t="inlineStr">
        <is>
          <t>spillover</t>
        </is>
      </c>
      <c r="D99" s="2" t="inlineStr">
        <is>
          <t>가수 보아가 스튜디오 근황을 공개하며 토크 방송 촬영 후 유쾌한 포즈를 취한 모습이 보도됨.</t>
        </is>
      </c>
      <c r="E99" t="inlineStr"/>
      <c r="F99" t="inlineStr">
        <is>
          <t>N</t>
        </is>
      </c>
      <c r="G99" t="inlineStr"/>
      <c r="H99" s="6" t="inlineStr"/>
      <c r="I99" t="inlineStr"/>
      <c r="J99" t="inlineStr"/>
      <c r="K99" t="inlineStr"/>
    </row>
    <row r="100">
      <c r="A100" t="n">
        <v>99</v>
      </c>
      <c r="B100" t="inlineStr">
        <is>
          <t>ITZY</t>
        </is>
      </c>
      <c r="C100" t="inlineStr">
        <is>
          <t>spillover</t>
        </is>
      </c>
      <c r="D100" s="2" t="inlineStr">
        <is>
          <t>멕시코 언론 Infobae가 ITZY의 멕시코 공연이 현지 팬덤(MIDZY)과의 유대와 중남미 시장에서의 K-pop 성장세를 보여준다고 보도: "Este concierto en Ciudad de México también servirá como plataforma para que ITZY pueda conectar de manera más cercana con sus fans mexicanos, conocidos como MIDZY, y fortalecer la relación con la base de seguidores en América Latina." / "La presencia de ITZY en México se suma a la lista de artistas internacionales que han elegido el país para actuar, lo que refleja la posición de México como un mercado importante y en crecimiento para la industria musical del K-pop."</t>
        </is>
      </c>
      <c r="E100" t="inlineStr"/>
      <c r="F100" t="inlineStr">
        <is>
          <t>N</t>
        </is>
      </c>
      <c r="G100" t="inlineStr"/>
      <c r="H100" s="6" t="inlineStr"/>
      <c r="I100" t="inlineStr"/>
      <c r="J100" t="inlineStr"/>
      <c r="K100" t="inlineStr"/>
    </row>
    <row r="101">
      <c r="A101" t="n">
        <v>100</v>
      </c>
      <c r="B101" t="inlineStr">
        <is>
          <t>이효리</t>
        </is>
      </c>
      <c r="C101" t="inlineStr">
        <is>
          <t>spillover</t>
        </is>
      </c>
      <c r="D101" s="2" t="inlineStr">
        <is>
          <t>이효리·이상순 부부는 2025년 5월 16일 유기견·유기묘 수백 마리를 보호 중인 사단법인 평강공주에 사료 2톤을 기부했다</t>
        </is>
      </c>
      <c r="E101" t="inlineStr"/>
      <c r="F101" t="inlineStr">
        <is>
          <t>N</t>
        </is>
      </c>
      <c r="G101" t="inlineStr"/>
      <c r="H101" s="6" t="inlineStr"/>
      <c r="I101" t="inlineStr"/>
      <c r="J101" t="inlineStr"/>
      <c r="K101" t="inlineStr"/>
    </row>
    <row r="102">
      <c r="A102" t="n">
        <v>101</v>
      </c>
      <c r="B102" t="inlineStr">
        <is>
          <t>에픽하이</t>
        </is>
      </c>
      <c r="C102" t="inlineStr">
        <is>
          <t>loyalty</t>
        </is>
      </c>
      <c r="D102" s="2" t="inlineStr">
        <is>
          <t>twig24는 2026년 8월 30일 타블로가 8월 29일 인스타그램에 공개한 에픽하이 공식 유튜브 채널의 '에픽카세 가요제' 콘텐츠에서 멤버 투컷이 K팝 업계 인맥을 총동원한 대대적인 SNS 홍보 캠페인을 벌이고 있다고 언급하며 팬들에게 우승 자신이 없다고 말했다고 보도했다.</t>
        </is>
      </c>
      <c r="E102" t="inlineStr"/>
      <c r="F102" t="inlineStr">
        <is>
          <t>N</t>
        </is>
      </c>
      <c r="G102" t="inlineStr"/>
      <c r="H102" s="6" t="inlineStr"/>
      <c r="I102" t="inlineStr"/>
      <c r="J102" t="inlineStr"/>
      <c r="K102" t="inlineStr"/>
    </row>
    <row r="103">
      <c r="A103" t="n">
        <v>102</v>
      </c>
      <c r="B103" t="inlineStr">
        <is>
          <t>QWER</t>
        </is>
      </c>
      <c r="C103" t="inlineStr">
        <is>
          <t>loyalty</t>
        </is>
      </c>
      <c r="D103" s="2" t="inlineStr">
        <is>
          <t>신랑(sina.cn)에는 QWER 신보 발매에 맞춰 팬들이 제작한 "타가카드(打歌卡)" 모음 게시물이 뉴스로 전재되어 있다.</t>
        </is>
      </c>
      <c r="E103" t="inlineStr"/>
      <c r="F103" t="inlineStr">
        <is>
          <t>N</t>
        </is>
      </c>
      <c r="G103" t="inlineStr"/>
      <c r="H103" s="6" t="inlineStr"/>
      <c r="I103" t="inlineStr"/>
      <c r="J103" t="inlineStr"/>
      <c r="K103" t="inlineStr"/>
    </row>
    <row r="104">
      <c r="A104" t="n">
        <v>103</v>
      </c>
      <c r="B104" t="inlineStr">
        <is>
          <t>aespa</t>
        </is>
      </c>
      <c r="C104" t="inlineStr">
        <is>
          <t>spillover</t>
        </is>
      </c>
      <c r="D104" s="2" t="inlineStr">
        <is>
          <t>2026 코리아퍼스트브랜드대상에서 국내·베트남(3년 연속)·인도네시아 여자 아이돌 부문 3관왕</t>
        </is>
      </c>
      <c r="E104" t="inlineStr"/>
      <c r="F104" t="inlineStr">
        <is>
          <t>N</t>
        </is>
      </c>
      <c r="G104" t="inlineStr"/>
      <c r="H104" s="6" t="inlineStr"/>
      <c r="I104" t="inlineStr"/>
      <c r="J104" t="inlineStr"/>
      <c r="K104" t="inlineStr"/>
    </row>
    <row r="105">
      <c r="A105" t="n">
        <v>104</v>
      </c>
      <c r="B105" t="inlineStr">
        <is>
          <t>ITZY</t>
        </is>
      </c>
      <c r="C105" t="inlineStr">
        <is>
          <t>spillover</t>
        </is>
      </c>
      <c r="D105" s="2" t="inlineStr">
        <is>
          <t>중국 sina.com.cn 산하 cj.sina.com.cn은 ITZY 컴백곡 《Motto》 전체 일정 공개 소식을 "ITZY強勢回歸！《Motto》完整日程全曝光，概念圖驚艷"라는 제목으로 전했다.</t>
        </is>
      </c>
      <c r="E105" t="inlineStr"/>
      <c r="F105" t="inlineStr">
        <is>
          <t>N</t>
        </is>
      </c>
      <c r="G105" t="inlineStr"/>
      <c r="H105" s="6" t="inlineStr"/>
      <c r="I105" t="inlineStr"/>
      <c r="J105" t="inlineStr"/>
      <c r="K105" t="inlineStr"/>
    </row>
    <row r="106">
      <c r="A106" t="n">
        <v>105</v>
      </c>
      <c r="B106" t="inlineStr">
        <is>
          <t>에픽하이</t>
        </is>
      </c>
      <c r="C106" t="inlineStr">
        <is>
          <t>loyalty</t>
        </is>
      </c>
      <c r="D106" s="2" t="inlineStr">
        <is>
          <t>에픽하이가 베트남에 너무 늦게 온 것을 후회한다고 밝히며 팬들과 소통했다.</t>
        </is>
      </c>
      <c r="E106" t="inlineStr"/>
      <c r="F106" t="inlineStr">
        <is>
          <t>N</t>
        </is>
      </c>
      <c r="G106" t="inlineStr"/>
      <c r="H106" s="6" t="inlineStr"/>
      <c r="I106" t="inlineStr"/>
      <c r="J106" t="inlineStr"/>
      <c r="K106" t="inlineStr"/>
    </row>
    <row r="107">
      <c r="A107" t="n">
        <v>106</v>
      </c>
      <c r="B107" t="inlineStr">
        <is>
          <t>마마무</t>
        </is>
      </c>
      <c r="C107" t="inlineStr">
        <is>
          <t>spillover</t>
        </is>
      </c>
      <c r="D107" s="2" t="inlineStr">
        <is>
          <t>Natalie (natalie.mu) reported that MAMAMOO's Wheein ended her exclusive management contract with agency RBW but would continue group activities through 2023, framing this as significant industry/fan news in the Japanese music press.</t>
        </is>
      </c>
      <c r="E107" t="inlineStr"/>
      <c r="F107" t="inlineStr">
        <is>
          <t>N</t>
        </is>
      </c>
      <c r="G107" t="inlineStr"/>
      <c r="H107" s="6" t="inlineStr"/>
      <c r="I107" t="inlineStr"/>
      <c r="J107" t="inlineStr"/>
      <c r="K107" t="inlineStr"/>
    </row>
    <row r="108">
      <c r="A108" t="n">
        <v>107</v>
      </c>
      <c r="B108" t="inlineStr">
        <is>
          <t>샤이니</t>
        </is>
      </c>
      <c r="C108" t="inlineStr">
        <is>
          <t>loyalty</t>
        </is>
      </c>
      <c r="D108" s="2" t="inlineStr">
        <is>
          <t>2016년 'Shinee World' 투어에서 9개 도시 20회 공연에 누적 35만 명이 참석했다.</t>
        </is>
      </c>
      <c r="E108" t="inlineStr"/>
      <c r="F108" t="inlineStr">
        <is>
          <t>N</t>
        </is>
      </c>
      <c r="G108" t="inlineStr"/>
      <c r="H108" s="6" t="inlineStr"/>
      <c r="I108" t="inlineStr"/>
      <c r="J108" t="inlineStr"/>
      <c r="K108" t="inlineStr"/>
    </row>
    <row r="109">
      <c r="A109" t="n">
        <v>108</v>
      </c>
      <c r="B109" t="inlineStr">
        <is>
          <t>CNBLUE</t>
        </is>
      </c>
      <c r="C109" t="inlineStr">
        <is>
          <t>spillover</t>
        </is>
      </c>
      <c r="D109" s="2" t="inlineStr">
        <is>
          <t>베트남 매체 kenh14는 CNBLUE 출신 스타(정용화로 추정)가 하노이에서 조깅하다가 아무도 알아보지 못했다는 일화를 2025년 7월 22일 보도, 베트남 대중 사이에서의 인지도 변화를 다뤘다</t>
        </is>
      </c>
      <c r="E109" t="inlineStr"/>
      <c r="F109" t="inlineStr">
        <is>
          <t>N</t>
        </is>
      </c>
      <c r="G109" t="inlineStr"/>
      <c r="H109" s="6" t="inlineStr"/>
      <c r="I109" t="inlineStr"/>
      <c r="J109" t="inlineStr"/>
      <c r="K109" t="inlineStr"/>
    </row>
    <row r="110">
      <c r="A110" t="n">
        <v>109</v>
      </c>
      <c r="B110" t="inlineStr">
        <is>
          <t>김연자</t>
        </is>
      </c>
      <c r="C110" t="inlineStr">
        <is>
          <t>spillover</t>
        </is>
      </c>
      <c r="D110" s="2" t="inlineStr">
        <is>
          <t>김연자가 2022년 11월 헬스케어 가전 브랜드 '자이글ON'(산소음이온발생기 '숲속', 온열마사지기 '오로라' 등)의 전속모델로 발탁됐다.</t>
        </is>
      </c>
      <c r="E110" t="inlineStr"/>
      <c r="F110" t="inlineStr">
        <is>
          <t>N</t>
        </is>
      </c>
      <c r="G110" t="inlineStr"/>
      <c r="H110" s="6" t="inlineStr"/>
      <c r="I110" t="inlineStr"/>
      <c r="J110" t="inlineStr"/>
      <c r="K110" t="inlineStr"/>
    </row>
    <row r="111">
      <c r="A111" t="n">
        <v>110</v>
      </c>
      <c r="B111" t="inlineStr">
        <is>
          <t>CORTIS</t>
        </is>
      </c>
      <c r="C111" t="inlineStr">
        <is>
          <t>spillover</t>
        </is>
      </c>
      <c r="D111" s="2" t="inlineStr">
        <is>
          <t>CORTIS 다큐멘터리 'What We Want'는 2023년 4월부터 2024년 5월까지 약 14개월간 촬영되었으며, 해외 프로듀서들이 이들의 협업 방식을 '완전히 다른 K팝(a completely different kind of K-pop)'이라 평가한 내용이 담겼다고 영어권 매체 스타뉴스코리아가 보도했다.</t>
        </is>
      </c>
      <c r="E111" t="inlineStr"/>
      <c r="F111" t="inlineStr">
        <is>
          <t>N</t>
        </is>
      </c>
      <c r="G111" t="inlineStr"/>
      <c r="H111" s="6" t="inlineStr"/>
      <c r="I111" t="inlineStr"/>
      <c r="J111" t="inlineStr"/>
      <c r="K111" t="inlineStr"/>
    </row>
    <row r="112">
      <c r="A112" t="n">
        <v>111</v>
      </c>
      <c r="B112" t="inlineStr">
        <is>
          <t>정동원</t>
        </is>
      </c>
      <c r="C112" t="inlineStr">
        <is>
          <t>loyalty</t>
        </is>
      </c>
      <c r="D112" s="2" t="inlineStr">
        <is>
          <t>미스터트롯 톱6 동료들이 정동원의 공연에 지원사격을 보내는 등 팬덤 간 연대가 형성됐다.</t>
        </is>
      </c>
      <c r="E112" t="inlineStr"/>
      <c r="F112" t="inlineStr">
        <is>
          <t>N</t>
        </is>
      </c>
      <c r="G112" t="inlineStr"/>
      <c r="H112" s="6" t="inlineStr"/>
      <c r="I112" t="inlineStr"/>
      <c r="J112" t="inlineStr"/>
      <c r="K112" t="inlineStr"/>
    </row>
    <row r="113">
      <c r="A113" t="n">
        <v>112</v>
      </c>
      <c r="B113" t="inlineStr">
        <is>
          <t>청하</t>
        </is>
      </c>
      <c r="C113" t="inlineStr">
        <is>
          <t>loyalty</t>
        </is>
      </c>
      <c r="D113" s="2" t="inlineStr">
        <is>
          <t>Her official fandom, originally named HAART (nicknamed "별하랑"), operated from June 7, 2018 to January 8, 2024</t>
        </is>
      </c>
      <c r="E113" t="inlineStr"/>
      <c r="F113" t="inlineStr">
        <is>
          <t>N</t>
        </is>
      </c>
      <c r="G113" t="inlineStr"/>
      <c r="H113" s="6" t="inlineStr"/>
      <c r="I113" t="inlineStr"/>
      <c r="J113" t="inlineStr"/>
      <c r="K113" t="inlineStr"/>
    </row>
    <row r="114">
      <c r="A114" t="n">
        <v>113</v>
      </c>
      <c r="B114" t="inlineStr">
        <is>
          <t>FTISLAND</t>
        </is>
      </c>
      <c r="C114" t="inlineStr">
        <is>
          <t>loyalty</t>
        </is>
      </c>
      <c r="D114" s="2" t="inlineStr">
        <is>
          <t>2026년 1월 29일 데뷔 19년 만에 FNC엔터테인먼트와 재계약을 체결, 장기 활동 팬덤 관계를 이어가고 있다.</t>
        </is>
      </c>
      <c r="E114" t="inlineStr"/>
      <c r="F114" t="inlineStr">
        <is>
          <t>N</t>
        </is>
      </c>
      <c r="G114" t="inlineStr"/>
      <c r="H114" s="6" t="inlineStr"/>
      <c r="I114" t="inlineStr"/>
      <c r="J114" t="inlineStr"/>
      <c r="K114" t="inlineStr"/>
    </row>
    <row r="115">
      <c r="A115" t="n">
        <v>114</v>
      </c>
      <c r="B115" t="inlineStr">
        <is>
          <t>에픽하이</t>
        </is>
      </c>
      <c r="C115" t="inlineStr">
        <is>
          <t>loyalty</t>
        </is>
      </c>
      <c r="D115" s="2" t="inlineStr">
        <is>
          <t>2년여 만의 북미(미국·캐나다) 투어 발표(2026.10) — LA·뉴욕·오클랜드·밴쿠버·토론토, 'Epik High HQ' 멤버십 프리세일(6.10)</t>
        </is>
      </c>
      <c r="E115" t="inlineStr"/>
      <c r="F115" t="inlineStr">
        <is>
          <t>N</t>
        </is>
      </c>
      <c r="G115" t="inlineStr"/>
      <c r="H115" s="6" t="inlineStr"/>
      <c r="I115" t="inlineStr"/>
      <c r="J115" t="inlineStr"/>
      <c r="K115" t="inlineStr"/>
    </row>
    <row r="116">
      <c r="A116" t="n">
        <v>115</v>
      </c>
      <c r="B116" t="inlineStr">
        <is>
          <t>IKON</t>
        </is>
      </c>
      <c r="C116" t="inlineStr">
        <is>
          <t>spillover</t>
        </is>
      </c>
      <c r="D116" s="2" t="inlineStr">
        <is>
          <t>iKON이 서바이벌 예능 '킹덤: 레전더리 워'에 출연했다.</t>
        </is>
      </c>
      <c r="E116" t="inlineStr"/>
      <c r="F116" t="inlineStr">
        <is>
          <t>N</t>
        </is>
      </c>
      <c r="G116" t="inlineStr"/>
      <c r="H116" s="6" t="inlineStr"/>
      <c r="I116" t="inlineStr"/>
      <c r="J116" t="inlineStr"/>
      <c r="K116" t="inlineStr"/>
    </row>
    <row r="117">
      <c r="A117" t="n">
        <v>116</v>
      </c>
      <c r="B117" t="inlineStr">
        <is>
          <t>CORTIS</t>
        </is>
      </c>
      <c r="C117" t="inlineStr">
        <is>
          <t>loyalty</t>
        </is>
      </c>
      <c r="D117" s="2" t="inlineStr">
        <is>
          <t>코르티스의 데뷔 후 첫 대학축제(고려대 등) 현장에서 떼창과 호응이 뜨거웠고 멤버들의 텐션도 좋아 직캠만 봐도 현장감이 느껴진다는 반응이 SNS에 공유됐다.</t>
        </is>
      </c>
      <c r="E117" t="inlineStr"/>
      <c r="F117" t="inlineStr">
        <is>
          <t>N</t>
        </is>
      </c>
      <c r="G117" t="inlineStr"/>
      <c r="H117" s="6" t="inlineStr"/>
      <c r="I117" t="inlineStr"/>
      <c r="J117" t="inlineStr"/>
      <c r="K117" t="inlineStr"/>
    </row>
    <row r="118">
      <c r="A118" t="n">
        <v>117</v>
      </c>
      <c r="B118" t="inlineStr">
        <is>
          <t>성시경</t>
        </is>
      </c>
      <c r="C118" t="inlineStr">
        <is>
          <t>spillover</t>
        </is>
      </c>
      <c r="D118" s="2" t="inlineStr">
        <is>
          <t>성시경이 동국제약 인사돌플러스의 새 모델로 발탁돼 이보영과 함께 신규 TV-CF를 촬영했다고 팜뉴스가 보도했다.</t>
        </is>
      </c>
      <c r="E118" t="inlineStr"/>
      <c r="F118" t="inlineStr">
        <is>
          <t>N</t>
        </is>
      </c>
      <c r="G118" t="inlineStr"/>
      <c r="H118" s="6" t="inlineStr"/>
      <c r="I118" t="inlineStr"/>
      <c r="J118" t="inlineStr"/>
      <c r="K118" t="inlineStr"/>
    </row>
    <row r="119">
      <c r="A119" t="n">
        <v>118</v>
      </c>
      <c r="B119" t="inlineStr">
        <is>
          <t>지드래곤 (G-Dragon)</t>
        </is>
      </c>
      <c r="C119" t="inlineStr">
        <is>
          <t>spillover</t>
        </is>
      </c>
      <c r="D119" s="2" t="inlineStr">
        <is>
          <t>인포바에가 지드래곤이 11년 만에 첫 솔로 정규앨범을 발매했다는 소식을 보도했다</t>
        </is>
      </c>
      <c r="E119" t="inlineStr"/>
      <c r="F119" t="inlineStr">
        <is>
          <t>N</t>
        </is>
      </c>
      <c r="G119" t="inlineStr"/>
      <c r="H119" s="6" t="inlineStr"/>
      <c r="I119" t="inlineStr"/>
      <c r="J119" t="inlineStr"/>
      <c r="K119" t="inlineStr"/>
    </row>
    <row r="120">
      <c r="A120" t="n">
        <v>119</v>
      </c>
      <c r="B120" t="inlineStr">
        <is>
          <t>로이킴</t>
        </is>
      </c>
      <c r="C120" t="inlineStr">
        <is>
          <t>spillover</t>
        </is>
      </c>
      <c r="D120" s="2" t="inlineStr">
        <is>
          <t>일본 최대 음악 차트·뉴스 매체 오리콘(ORICON NEWS)에 로이킴(ロイ・キム)의 정식 아티스트 프로필 페이지가 개설되어 있다.</t>
        </is>
      </c>
      <c r="E120" t="inlineStr"/>
      <c r="F120" t="inlineStr">
        <is>
          <t>N</t>
        </is>
      </c>
      <c r="G120" t="inlineStr"/>
      <c r="H120" s="6" t="inlineStr"/>
      <c r="I120" t="inlineStr"/>
      <c r="J120" t="inlineStr"/>
      <c r="K120" t="inlineStr"/>
    </row>
    <row r="121">
      <c r="A121" t="n">
        <v>120</v>
      </c>
      <c r="B121" t="inlineStr">
        <is>
          <t>NewJeans</t>
        </is>
      </c>
      <c r="C121" t="inlineStr">
        <is>
          <t>spillover</t>
        </is>
      </c>
      <c r="D121" s="2" t="inlineStr">
        <is>
          <t>포브스코리아 보도에 따르면 뉴진스는 한 해 동안 약 300억 원의 광고 수익을 올렸다(2024년 4월).</t>
        </is>
      </c>
      <c r="E121" t="inlineStr"/>
      <c r="F121" t="inlineStr">
        <is>
          <t>N</t>
        </is>
      </c>
      <c r="G121" t="inlineStr"/>
      <c r="H121" s="6" t="inlineStr"/>
      <c r="I121" t="inlineStr"/>
      <c r="J121" t="inlineStr"/>
      <c r="K121" t="inlineStr"/>
    </row>
    <row r="122">
      <c r="A122" t="n">
        <v>121</v>
      </c>
      <c r="B122" t="inlineStr">
        <is>
          <t>정동원</t>
        </is>
      </c>
      <c r="C122" t="inlineStr">
        <is>
          <t>loyalty</t>
        </is>
      </c>
      <c r="D122" s="2" t="inlineStr">
        <is>
          <t>Fan club "우주총동원" donated ₩13.27 million timed to coincide with his military enlistment cohort date.</t>
        </is>
      </c>
      <c r="E122" t="inlineStr"/>
      <c r="F122" t="inlineStr">
        <is>
          <t>N</t>
        </is>
      </c>
      <c r="G122" t="inlineStr"/>
      <c r="H122" s="6" t="inlineStr"/>
      <c r="I122" t="inlineStr"/>
      <c r="J122" t="inlineStr"/>
      <c r="K122" t="inlineStr"/>
    </row>
    <row r="123">
      <c r="A123" t="n">
        <v>122</v>
      </c>
      <c r="B123" t="inlineStr">
        <is>
          <t>10CM</t>
        </is>
      </c>
      <c r="C123" t="inlineStr">
        <is>
          <t>spillover</t>
        </is>
      </c>
      <c r="D123" s="2" t="inlineStr">
        <is>
          <t>10CM의 "봄이 좋냐"는 2016년 4월 1일 발매 당일 멜론 차트 1위에 올랐다</t>
        </is>
      </c>
      <c r="E123" t="inlineStr"/>
      <c r="F123" t="inlineStr">
        <is>
          <t>N</t>
        </is>
      </c>
      <c r="G123" t="inlineStr"/>
      <c r="H123" s="6" t="inlineStr"/>
      <c r="I123" t="inlineStr"/>
      <c r="J123" t="inlineStr"/>
      <c r="K123" t="inlineStr"/>
    </row>
    <row r="124">
      <c r="A124" t="n">
        <v>123</v>
      </c>
      <c r="B124" t="inlineStr">
        <is>
          <t>조용필</t>
        </is>
      </c>
      <c r="C124" t="inlineStr">
        <is>
          <t>spillover</t>
        </is>
      </c>
      <c r="D124" s="2" t="inlineStr">
        <is>
          <t>조용필은 일화의 음료 '맥콜' 광고 모델로 출연한 이력이 있다 (나무위키 '출연 광고' 항목 기재, 정확한 연도 미상).</t>
        </is>
      </c>
      <c r="E124" t="inlineStr"/>
      <c r="F124" t="inlineStr">
        <is>
          <t>N</t>
        </is>
      </c>
      <c r="G124" t="inlineStr"/>
      <c r="H124" s="6" t="inlineStr"/>
      <c r="I124" t="inlineStr"/>
      <c r="J124" t="inlineStr"/>
      <c r="K124" t="inlineStr"/>
    </row>
    <row r="125">
      <c r="A125" t="n">
        <v>124</v>
      </c>
      <c r="B125" t="inlineStr">
        <is>
          <t>이영지</t>
        </is>
      </c>
      <c r="C125" t="inlineStr">
        <is>
          <t>spillover</t>
        </is>
      </c>
      <c r="D125" s="2" t="inlineStr">
        <is>
          <t>'나가지마' 폰케이스 콜라보 수익금 1억4000만원 전액 기부</t>
        </is>
      </c>
      <c r="E125" t="inlineStr"/>
      <c r="F125" t="inlineStr">
        <is>
          <t>N</t>
        </is>
      </c>
      <c r="G125" t="inlineStr"/>
      <c r="H125" s="6" t="inlineStr"/>
      <c r="I125" t="inlineStr"/>
      <c r="J125" t="inlineStr"/>
      <c r="K125" t="inlineStr"/>
    </row>
    <row r="126">
      <c r="A126" t="n">
        <v>125</v>
      </c>
      <c r="B126" t="inlineStr">
        <is>
          <t>조용필</t>
        </is>
      </c>
      <c r="C126" t="inlineStr">
        <is>
          <t>loyalty</t>
        </is>
      </c>
      <c r="D126" s="2" t="inlineStr">
        <is>
          <t>일본에서도 앨범 누적 판매량이 600만 장을 넘어서며 해외에서도 견고한 팬덤을 확보함.</t>
        </is>
      </c>
      <c r="E126" t="inlineStr"/>
      <c r="F126" t="inlineStr">
        <is>
          <t>N</t>
        </is>
      </c>
      <c r="G126" t="inlineStr"/>
      <c r="H126" s="6" t="inlineStr"/>
      <c r="I126" t="inlineStr"/>
      <c r="J126" t="inlineStr"/>
      <c r="K126" t="inlineStr"/>
    </row>
    <row r="127">
      <c r="A127" t="n">
        <v>126</v>
      </c>
      <c r="B127" t="inlineStr">
        <is>
          <t>청하</t>
        </is>
      </c>
      <c r="C127" t="inlineStr">
        <is>
          <t>spillover</t>
        </is>
      </c>
      <c r="D127" s="2" t="inlineStr">
        <is>
          <t>"Gotta Go"(2019)는 빌보드 선정 '2019년 최고의 K팝 노래 25' 중 3위, '2010년대 최고의 K팝 노래 100' 중 100위에 올랐다. "Stay Tonight"(2020)은 가온 디지털차트 9위, 빌보드 월드 디지털 송즈 차트 4위를 기록했다.</t>
        </is>
      </c>
      <c r="E127" t="inlineStr"/>
      <c r="F127" t="inlineStr">
        <is>
          <t>N</t>
        </is>
      </c>
      <c r="G127" t="inlineStr"/>
      <c r="H127" s="6" t="inlineStr"/>
      <c r="I127" t="inlineStr"/>
      <c r="J127" t="inlineStr"/>
      <c r="K127" t="inlineStr"/>
    </row>
    <row r="128">
      <c r="A128" t="n">
        <v>127</v>
      </c>
      <c r="B128" t="inlineStr">
        <is>
          <t>지드래곤 (G-Dragon)</t>
        </is>
      </c>
      <c r="C128" t="inlineStr">
        <is>
          <t>loyalty</t>
        </is>
      </c>
      <c r="D128" s="2" t="inlineStr">
        <is>
          <t>후쿠오카 야후옥돔 공연에서 5만 명의 관객이 BIGBANG 컬러 응원봉(노란색·빨간색)으로 도쿄돔 전체를 가득 메웠고, 깜짝 생일 케이크 이벤트에도 5만 관객이 함께 축하했다: "5万人が掲げる黄色と赤のBIGBANGペンライトに埋め尽くされたドーム会場を揺らし続けた。" / "特製のバースデーケーキがステージに登場し5万人の観客がお祝いするというサプライズ演出も。"</t>
        </is>
      </c>
      <c r="E128" t="inlineStr"/>
      <c r="F128" t="inlineStr">
        <is>
          <t>N</t>
        </is>
      </c>
      <c r="G128" t="inlineStr"/>
      <c r="H128" s="6" t="inlineStr"/>
      <c r="I128" t="inlineStr"/>
      <c r="J128" t="inlineStr"/>
      <c r="K128" t="inlineStr"/>
    </row>
    <row r="129">
      <c r="A129" t="n">
        <v>128</v>
      </c>
      <c r="B129" t="inlineStr">
        <is>
          <t>NCT</t>
        </is>
      </c>
      <c r="C129" t="inlineStr">
        <is>
          <t>loyalty</t>
        </is>
      </c>
      <c r="D129" s="2" t="inlineStr">
        <is>
          <t>2024년 6월 기준 전체 유닛 음반의 누적 판매량이 4500만장을 넘어서며 K팝 역대 최다 음반 판매 아티스트로 집계됐다.</t>
        </is>
      </c>
      <c r="E129" t="inlineStr"/>
      <c r="F129" t="inlineStr">
        <is>
          <t>N</t>
        </is>
      </c>
      <c r="G129" t="inlineStr"/>
      <c r="H129" s="6" t="inlineStr"/>
      <c r="I129" t="inlineStr"/>
      <c r="J129" t="inlineStr"/>
      <c r="K129" t="inlineStr"/>
    </row>
    <row r="130">
      <c r="A130" t="n">
        <v>129</v>
      </c>
      <c r="B130" t="inlineStr">
        <is>
          <t>NewJeans</t>
        </is>
      </c>
      <c r="C130" t="inlineStr">
        <is>
          <t>spillover</t>
        </is>
      </c>
      <c r="D130" s="2" t="inlineStr">
        <is>
          <t>이날 방송의 시청률은 6.1%(닐슨코리아 집계, 이하 전국 가구 기준)를 기록했다. 특히 멤버들이 뉴진스와 퇴근을 건 게임 배틀에서 최종 승리하며 세리머니로 'Hype Boy(하입 보이)'를 선보이고, 한껏 신난 유선호가 뉴진스와 완벽 호흡을 자랑하는 춤 실력으로 모두를 깜짝 놀라게 하는 장면에서는 최고 시청률이 9.2%까지 올랐다.</t>
        </is>
      </c>
      <c r="E130" t="inlineStr"/>
      <c r="F130" t="inlineStr">
        <is>
          <t>N</t>
        </is>
      </c>
      <c r="G130" t="inlineStr"/>
      <c r="H130" s="6" t="inlineStr"/>
      <c r="I130" t="inlineStr"/>
      <c r="J130" t="inlineStr"/>
      <c r="K130" t="inlineStr"/>
    </row>
    <row r="131">
      <c r="A131" t="n">
        <v>130</v>
      </c>
      <c r="B131" t="inlineStr">
        <is>
          <t>박재범</t>
        </is>
      </c>
      <c r="C131" t="inlineStr">
        <is>
          <t>spillover</t>
        </is>
      </c>
      <c r="D131" s="2" t="inlineStr">
        <is>
          <t>박재범이 데이영(Dayoung)과 협업한 신곡 'Flirty'를 Rolling Stone India가 소개했다.</t>
        </is>
      </c>
      <c r="E131" t="inlineStr"/>
      <c r="F131" t="inlineStr">
        <is>
          <t>N</t>
        </is>
      </c>
      <c r="G131" t="inlineStr"/>
      <c r="H131" s="6" t="inlineStr"/>
      <c r="I131" t="inlineStr"/>
      <c r="J131" t="inlineStr"/>
      <c r="K131" t="inlineStr"/>
    </row>
    <row r="132">
      <c r="A132" t="n">
        <v>131</v>
      </c>
      <c r="B132" t="inlineStr">
        <is>
          <t>sg워너비</t>
        </is>
      </c>
      <c r="C132" t="inlineStr">
        <is>
          <t>spillover</t>
        </is>
      </c>
      <c r="D132" s="2" t="inlineStr">
        <is>
          <t>SG워너비의 "내 사람 : Partner For Life"는 2006년 벅스뮤직 차트에서 9주간 1위(04/07~06/08)를 차지했으며, 같은 해 멜론 연간 차트에서도 1위를 기록했다</t>
        </is>
      </c>
      <c r="E132" t="inlineStr"/>
      <c r="F132" t="inlineStr">
        <is>
          <t>N</t>
        </is>
      </c>
      <c r="G132" t="inlineStr"/>
      <c r="H132" s="6" t="inlineStr"/>
      <c r="I132" t="inlineStr"/>
      <c r="J132" t="inlineStr"/>
      <c r="K132" t="inlineStr"/>
    </row>
    <row r="133">
      <c r="A133" t="n">
        <v>132</v>
      </c>
      <c r="B133" t="inlineStr">
        <is>
          <t>10CM</t>
        </is>
      </c>
      <c r="C133" t="inlineStr">
        <is>
          <t>loyalty</t>
        </is>
      </c>
      <c r="D133" s="2" t="inlineStr">
        <is>
          <t>필리핀 마닐라에서 'Closer To You' 단독 콘서트를 개최했다고 필리핀 매체가 보도</t>
        </is>
      </c>
      <c r="E133" t="inlineStr"/>
      <c r="F133" t="inlineStr">
        <is>
          <t>N</t>
        </is>
      </c>
      <c r="G133" t="inlineStr"/>
      <c r="H133" s="6" t="inlineStr"/>
      <c r="I133" t="inlineStr"/>
      <c r="J133" t="inlineStr"/>
      <c r="K133" t="inlineStr"/>
    </row>
    <row r="134">
      <c r="A134" t="n">
        <v>133</v>
      </c>
      <c r="B134" t="inlineStr">
        <is>
          <t>이승철</t>
        </is>
      </c>
      <c r="C134" t="inlineStr">
        <is>
          <t>spillover</t>
        </is>
      </c>
      <c r="D134" s="2" t="inlineStr">
        <is>
          <t>이승철은 2025년 11월 방송된 KBS2 '옥탑방의 문제아들'에서 자신의 곡들로만 채운 SF 판타지 뮤지컬을 2027년 개막 목표로 기획 중이며 시나리오도 완성됐다고 밝혔고, 배우 박보검을 주연으로 고려했으나 성사되지 않았다고 전했다.</t>
        </is>
      </c>
      <c r="E134" t="inlineStr"/>
      <c r="F134" t="inlineStr">
        <is>
          <t>N</t>
        </is>
      </c>
      <c r="G134" t="inlineStr"/>
      <c r="H134" s="6" t="inlineStr"/>
      <c r="I134" t="inlineStr"/>
      <c r="J134" t="inlineStr"/>
      <c r="K134" t="inlineStr"/>
    </row>
    <row r="135">
      <c r="A135" t="n">
        <v>134</v>
      </c>
      <c r="B135" t="inlineStr">
        <is>
          <t>BABYMONSTER</t>
        </is>
      </c>
      <c r="C135" t="inlineStr">
        <is>
          <t>spillover</t>
        </is>
      </c>
      <c r="D135" s="2" t="inlineStr">
        <is>
          <t>베이비몬스터 데뷔곡 'Batter Up' 뮤직비디오, 공개 24시간만에 2259만뷰를 기록해 K팝 역대 데뷔곡 최다 24시간 조회수 경신</t>
        </is>
      </c>
      <c r="E135" t="inlineStr"/>
      <c r="F135" t="inlineStr">
        <is>
          <t>N</t>
        </is>
      </c>
      <c r="G135" t="inlineStr"/>
      <c r="H135" s="6" t="inlineStr"/>
      <c r="I135" t="inlineStr"/>
      <c r="J135" t="inlineStr"/>
      <c r="K135" t="inlineStr"/>
    </row>
    <row r="136">
      <c r="A136" t="n">
        <v>135</v>
      </c>
      <c r="B136" t="inlineStr">
        <is>
          <t>아이유</t>
        </is>
      </c>
      <c r="C136" t="inlineStr">
        <is>
          <t>spillover</t>
        </is>
      </c>
      <c r="D136" s="2" t="inlineStr">
        <is>
          <t>프랑스 로피시엘이 아이유와의 인터뷰에서 뉴발란스와의 오랜 파트너십, 신보와 투어 계획에 대한 이야기를 전했다.</t>
        </is>
      </c>
      <c r="E136" t="inlineStr"/>
      <c r="F136" t="inlineStr">
        <is>
          <t>N</t>
        </is>
      </c>
      <c r="G136" t="inlineStr"/>
      <c r="H136" s="6" t="inlineStr"/>
      <c r="I136" t="inlineStr"/>
      <c r="J136" t="inlineStr"/>
      <c r="K136" t="inlineStr"/>
    </row>
    <row r="137">
      <c r="A137" t="n">
        <v>136</v>
      </c>
      <c r="B137" t="inlineStr">
        <is>
          <t>STAYC</t>
        </is>
      </c>
      <c r="C137" t="inlineStr">
        <is>
          <t>loyalty</t>
        </is>
      </c>
      <c r="D137" s="2" t="inlineStr">
        <is>
          <t>STAYC가 11월에 일본 데뷔하며 첫 쇼케이스도 개최한다는 음악나탈리 보도</t>
        </is>
      </c>
      <c r="E137" t="inlineStr"/>
      <c r="F137" t="inlineStr">
        <is>
          <t>N</t>
        </is>
      </c>
      <c r="G137" t="inlineStr"/>
      <c r="H137" s="6" t="inlineStr"/>
      <c r="I137" t="inlineStr"/>
      <c r="J137" t="inlineStr"/>
      <c r="K137" t="inlineStr"/>
    </row>
    <row r="138">
      <c r="A138" t="n">
        <v>137</v>
      </c>
      <c r="B138" t="inlineStr">
        <is>
          <t>IKON</t>
        </is>
      </c>
      <c r="C138" t="inlineStr">
        <is>
          <t>spillover</t>
        </is>
      </c>
      <c r="D138" s="2" t="inlineStr">
        <is>
          <t>데뷔앨범 'Welcome Back' 아시아 누적 26만 장 이상 판매, 수록곡 합산 480만 장 이상 판매; 2016-2018년 일본 아레나·돔 투어 누적 약 59만 명 동원</t>
        </is>
      </c>
      <c r="E138" t="inlineStr"/>
      <c r="F138" t="inlineStr">
        <is>
          <t>N</t>
        </is>
      </c>
      <c r="G138" t="inlineStr"/>
      <c r="H138" s="6" t="inlineStr"/>
      <c r="I138" t="inlineStr"/>
      <c r="J138" t="inlineStr"/>
      <c r="K138" t="inlineStr"/>
    </row>
    <row r="139">
      <c r="A139" t="n">
        <v>138</v>
      </c>
      <c r="B139" t="inlineStr">
        <is>
          <t>BTS</t>
        </is>
      </c>
      <c r="C139" t="inlineStr">
        <is>
          <t>loyalty</t>
        </is>
      </c>
      <c r="D139" s="2" t="inlineStr">
        <is>
          <t>BTS 슈가가 세브란스병원에 50억원을 기부한 뒤를 이어 팬덤 아미 명의의 기부 행렬도 이어져 2억원을 넘어섰다.</t>
        </is>
      </c>
      <c r="E139" t="inlineStr"/>
      <c r="F139" t="inlineStr">
        <is>
          <t>N</t>
        </is>
      </c>
      <c r="G139" t="inlineStr"/>
      <c r="H139" s="6" t="inlineStr"/>
      <c r="I139" t="inlineStr"/>
      <c r="J139" t="inlineStr"/>
      <c r="K139" t="inlineStr"/>
    </row>
    <row r="140">
      <c r="A140" t="n">
        <v>139</v>
      </c>
      <c r="B140" t="inlineStr">
        <is>
          <t>최예나</t>
        </is>
      </c>
      <c r="C140" t="inlineStr">
        <is>
          <t>spillover</t>
        </is>
      </c>
      <c r="D140" s="2" t="inlineStr">
        <is>
          <t>스킨케어 브랜드 이옴(뉴셀렉트)이 최예나와 함께 트러블 패치 마스크 캠페인 '패치 미'를 전개했다(2026년 6월).</t>
        </is>
      </c>
      <c r="E140" t="inlineStr"/>
      <c r="F140" t="inlineStr">
        <is>
          <t>N</t>
        </is>
      </c>
      <c r="G140" t="inlineStr"/>
      <c r="H140" s="6" t="inlineStr"/>
      <c r="I140" t="inlineStr"/>
      <c r="J140" t="inlineStr"/>
      <c r="K140" t="inlineStr"/>
    </row>
    <row r="141">
      <c r="A141" t="n">
        <v>140</v>
      </c>
      <c r="B141" t="inlineStr">
        <is>
          <t>다이나믹듀오</t>
        </is>
      </c>
      <c r="C141" t="inlineStr">
        <is>
          <t>spillover</t>
        </is>
      </c>
      <c r="D141" s="2" t="inlineStr">
        <is>
          <t>다이나믹듀오 소속사 아메바컬쳐는 2025년 5월 '쇼미더머니10' 준우승자 신스를 영입했으며, 개코와 같은 팀이었던 인연의 신스는 2025년 11월 다이나믹듀오가 피처링한 데뷔 싱글을 발표했다.</t>
        </is>
      </c>
      <c r="E141" t="inlineStr"/>
      <c r="F141" t="inlineStr">
        <is>
          <t>N</t>
        </is>
      </c>
      <c r="G141" t="inlineStr"/>
      <c r="H141" s="6" t="inlineStr"/>
      <c r="I141" t="inlineStr"/>
      <c r="J141" t="inlineStr"/>
      <c r="K141" t="inlineStr"/>
    </row>
    <row r="142">
      <c r="A142" t="n">
        <v>141</v>
      </c>
      <c r="B142" t="inlineStr">
        <is>
          <t>조용필</t>
        </is>
      </c>
      <c r="C142" t="inlineStr">
        <is>
          <t>spillover</t>
        </is>
      </c>
      <c r="D142" s="2" t="inlineStr">
        <is>
          <t>조용필이 LG전자의 '하이테크 스테레오', '하이파이VTR', '금성미라클TV' 등 가전제품 광고에 출연했다.</t>
        </is>
      </c>
      <c r="E142" t="inlineStr"/>
      <c r="F142" t="inlineStr">
        <is>
          <t>N</t>
        </is>
      </c>
      <c r="G142" t="inlineStr"/>
      <c r="H142" s="6" t="inlineStr"/>
      <c r="I142" t="inlineStr"/>
      <c r="J142" t="inlineStr"/>
      <c r="K142" t="inlineStr"/>
    </row>
    <row r="143">
      <c r="A143" t="n">
        <v>142</v>
      </c>
      <c r="B143" t="inlineStr">
        <is>
          <t>FTISLAND</t>
        </is>
      </c>
      <c r="C143" t="inlineStr">
        <is>
          <t>spillover</t>
        </is>
      </c>
      <c r="D143" s="2" t="inlineStr">
        <is>
          <t>FT아일랜드는 2011년 10월 29일 방영된 Mnet '주간아이돌' 15회, 2012년 3월 14일 34회에 출연하며 초기부터 예능 프로그램에 참여했다.</t>
        </is>
      </c>
      <c r="E143" t="inlineStr"/>
      <c r="F143" t="inlineStr">
        <is>
          <t>N</t>
        </is>
      </c>
      <c r="G143" t="inlineStr"/>
      <c r="H143" s="6" t="inlineStr"/>
      <c r="I143" t="inlineStr"/>
      <c r="J143" t="inlineStr"/>
      <c r="K143" t="inlineStr"/>
    </row>
    <row r="144">
      <c r="A144" t="n">
        <v>143</v>
      </c>
      <c r="B144" t="inlineStr">
        <is>
          <t>ATEEZ</t>
        </is>
      </c>
      <c r="C144" t="inlineStr">
        <is>
          <t>spillover</t>
        </is>
      </c>
      <c r="D144" s="2" t="inlineStr">
        <is>
          <t>'IN YOUR FANTASY' 월드투어의 호주 공연이 2026년 3월 3일 멜버른 로드레이버 아레나, 6일 시드니 쿠도스뱅크 아레나에서 열린다고 Rolling Stone Australia가 보도했다.</t>
        </is>
      </c>
      <c r="E144" t="inlineStr"/>
      <c r="F144" t="inlineStr">
        <is>
          <t>N</t>
        </is>
      </c>
      <c r="G144" t="inlineStr"/>
      <c r="H144" s="6" t="inlineStr"/>
      <c r="I144" t="inlineStr"/>
      <c r="J144" t="inlineStr"/>
      <c r="K144" t="inlineStr"/>
    </row>
    <row r="145">
      <c r="A145" t="n">
        <v>144</v>
      </c>
      <c r="B145" t="inlineStr">
        <is>
          <t>여자친구</t>
        </is>
      </c>
      <c r="C145" t="inlineStr">
        <is>
          <t>spillover</t>
        </is>
      </c>
      <c r="D145" s="2" t="inlineStr">
        <is>
          <t>여자친구는 2018년 '밤'으로 음악방송 10관왕, 2019년 '해야'·'열대야'로 각 6관왕을 달성했으며, '밤'의 뮤직비디오는 공개 1주일 만에 1,300만회 조회수를 기록하고 해당 곡은 빌보드 앨범차트 6위에 올랐다</t>
        </is>
      </c>
      <c r="E145" t="inlineStr"/>
      <c r="F145" t="inlineStr">
        <is>
          <t>N</t>
        </is>
      </c>
      <c r="G145" t="inlineStr"/>
      <c r="H145" s="6" t="inlineStr"/>
      <c r="I145" t="inlineStr"/>
      <c r="J145" t="inlineStr"/>
      <c r="K145" t="inlineStr"/>
    </row>
    <row r="146">
      <c r="A146" t="n">
        <v>145</v>
      </c>
      <c r="B146" t="inlineStr">
        <is>
          <t>RIIZE</t>
        </is>
      </c>
      <c r="C146" t="inlineStr">
        <is>
          <t>spillover</t>
        </is>
      </c>
      <c r="D146" s="2" t="inlineStr">
        <is>
          <t>멕시코 일간지 엘에랄도데멕시코(El Heraldo de México)가 라이즈(RIIZE)가 아르헨티나·칠레·브라질 롤라팔루자에 모두 출연한 최초의 남성 케이팝 그룹이 되었다고 보도했다.</t>
        </is>
      </c>
      <c r="E146" t="inlineStr"/>
      <c r="F146" t="inlineStr">
        <is>
          <t>N</t>
        </is>
      </c>
      <c r="G146" t="inlineStr"/>
      <c r="H146" s="6" t="inlineStr"/>
      <c r="I146" t="inlineStr"/>
      <c r="J146" t="inlineStr"/>
      <c r="K146" t="inlineStr"/>
    </row>
    <row r="147">
      <c r="A147" t="n">
        <v>146</v>
      </c>
      <c r="B147" t="inlineStr">
        <is>
          <t>투어스(TWS)</t>
        </is>
      </c>
      <c r="C147" t="inlineStr">
        <is>
          <t>spillover</t>
        </is>
      </c>
      <c r="D147" s="2" t="inlineStr">
        <is>
          <t>TWS's 2025 Japan arena tour '24/7:WITH:US' ran 13 sold-out shows across six cities (Hiroshima, Aichi, Fukuoka, Miyagi, Osaka, Kanagawa) drawing about 50,000 fans, closing at K-Arena Yokohama on August 9-10, 2025.</t>
        </is>
      </c>
      <c r="E147" t="inlineStr"/>
      <c r="F147" t="inlineStr">
        <is>
          <t>N</t>
        </is>
      </c>
      <c r="G147" t="inlineStr"/>
      <c r="H147" s="6" t="inlineStr"/>
      <c r="I147" t="inlineStr"/>
      <c r="J147" t="inlineStr"/>
      <c r="K147" t="inlineStr"/>
    </row>
    <row r="148">
      <c r="A148" t="n">
        <v>147</v>
      </c>
      <c r="B148" t="inlineStr">
        <is>
          <t>샤이니</t>
        </is>
      </c>
      <c r="C148" t="inlineStr">
        <is>
          <t>spillover</t>
        </is>
      </c>
      <c r="D148" s="2" t="inlineStr">
        <is>
          <t>SHINee performed at Tokyo Dome, Japan on their "SHINee World The Best 2018" tour, their first tour following Jonghyun's death</t>
        </is>
      </c>
      <c r="E148" t="inlineStr"/>
      <c r="F148" t="inlineStr">
        <is>
          <t>N</t>
        </is>
      </c>
      <c r="G148" t="inlineStr"/>
      <c r="H148" s="6" t="inlineStr"/>
      <c r="I148" t="inlineStr"/>
      <c r="J148" t="inlineStr"/>
      <c r="K148" t="inlineStr"/>
    </row>
    <row r="149">
      <c r="A149" t="n">
        <v>148</v>
      </c>
      <c r="B149" t="inlineStr">
        <is>
          <t>케이윌</t>
        </is>
      </c>
      <c r="C149" t="inlineStr">
        <is>
          <t>spillover</t>
        </is>
      </c>
      <c r="D149" s="2" t="inlineStr">
        <is>
          <t>스페인 K팝 매체 BA NA NA가 케이윌이 정규 4집 '想像; Mood Indigo' 후속으로 타이틀곡 '그땐 그댄'을 발표하며 컴백했고 국내 투어를 예고했다고 보도했다.</t>
        </is>
      </c>
      <c r="E149" t="inlineStr"/>
      <c r="F149" t="inlineStr">
        <is>
          <t>N</t>
        </is>
      </c>
      <c r="G149" t="inlineStr"/>
      <c r="H149" s="6" t="inlineStr"/>
      <c r="I149" t="inlineStr"/>
      <c r="J149" t="inlineStr"/>
      <c r="K149" t="inlineStr"/>
    </row>
    <row r="150">
      <c r="A150" s="7" t="n">
        <v>149</v>
      </c>
      <c r="B150" s="7" t="inlineStr">
        <is>
          <t>나훈아</t>
        </is>
      </c>
      <c r="C150" s="7" t="inlineStr">
        <is>
          <t>spillover</t>
        </is>
      </c>
      <c r="D150" s="8" t="inlineStr">
        <is>
          <t>His national retirement tour ran across Incheon (Apr 2024), Daegu (Dec 7-8), Busan (Dec 14-15), concluding in Seoul (Jan 10-12, 2025) as a marquee media event marking the end of a 59-year career.</t>
        </is>
      </c>
      <c r="E150" s="7" t="inlineStr"/>
      <c r="F150" s="7" t="inlineStr">
        <is>
          <t>Y</t>
        </is>
      </c>
      <c r="G150" s="7" t="inlineStr">
        <is>
          <t>Incheon·Daegu·Busan·Seoul (영문 지명)</t>
        </is>
      </c>
      <c r="H150" s="7" t="inlineStr"/>
      <c r="I150" s="7" t="inlineStr"/>
      <c r="J150" s="7" t="inlineStr"/>
      <c r="K150" s="7" t="inlineStr"/>
    </row>
    <row r="151">
      <c r="A151" s="7" t="n">
        <v>150</v>
      </c>
      <c r="B151" s="7" t="inlineStr">
        <is>
          <t>싸이</t>
        </is>
      </c>
      <c r="C151" s="7" t="inlineStr">
        <is>
          <t>spillover</t>
        </is>
      </c>
      <c r="D151" s="8" t="inlineStr">
        <is>
          <t>The 2025 "Psy Summer Swag" stop in Uijeongbu (July 5, 2025, ~30,000 attendees) generated an estimated ₩12.9 billion in local economic impact: ₩3.1 billion in direct visitor/staff spending plus ₩9.41 billion in indirect promotional/commercial effects for surrounding businesses</t>
        </is>
      </c>
      <c r="E151" s="7" t="inlineStr"/>
      <c r="F151" s="7" t="inlineStr">
        <is>
          <t>Y</t>
        </is>
      </c>
      <c r="G151" s="7" t="inlineStr">
        <is>
          <t>Uijeongbu (영문 지명)</t>
        </is>
      </c>
      <c r="H151" s="7" t="inlineStr"/>
      <c r="I151" s="7" t="inlineStr"/>
      <c r="J151" s="7" t="inlineStr"/>
      <c r="K151" s="7" t="inlineStr"/>
    </row>
    <row r="152">
      <c r="A152" t="n">
        <v>151</v>
      </c>
      <c r="B152" t="inlineStr">
        <is>
          <t>김재중</t>
        </is>
      </c>
      <c r="C152" t="inlineStr">
        <is>
          <t>spillover</t>
        </is>
      </c>
      <c r="D152" s="2" t="inlineStr">
        <is>
          <t>김재중은 2026년 한 인터뷰에서 옛 소속 그룹과의 '완전체' 재결합 가능성에 대해 "재결합이나 이런 건 민감하다", "하고 싶다고 해서 할 수 있는 게 아니다"라며 멤버 각자의 상황을 고려해야 하는 신중한 사안이라는 입장을 밝혔다.</t>
        </is>
      </c>
      <c r="E152" t="inlineStr"/>
      <c r="F152" t="inlineStr">
        <is>
          <t>N</t>
        </is>
      </c>
      <c r="G152" t="inlineStr"/>
      <c r="H152" s="6" t="inlineStr"/>
      <c r="I152" t="inlineStr"/>
      <c r="J152" t="inlineStr"/>
      <c r="K152" t="inlineStr"/>
    </row>
    <row r="153">
      <c r="A153" t="n">
        <v>152</v>
      </c>
      <c r="B153" t="inlineStr">
        <is>
          <t>빅뱅</t>
        </is>
      </c>
      <c r="C153" t="inlineStr">
        <is>
          <t>loyalty</t>
        </is>
      </c>
      <c r="D153" s="2" t="inlineStr">
        <is>
          <t>베트남 매체 뚜오이째(Tuổi Trẻ)도 같은 하노이 콘서트 소식을 독자적으로 보도해 베트남 내 빅뱅 재결합·컴백에 대한 관심을 확인했다.</t>
        </is>
      </c>
      <c r="E153" t="inlineStr"/>
      <c r="F153" t="inlineStr">
        <is>
          <t>N</t>
        </is>
      </c>
      <c r="G153" t="inlineStr"/>
      <c r="H153" s="6" t="inlineStr"/>
      <c r="I153" t="inlineStr"/>
      <c r="J153" t="inlineStr"/>
      <c r="K153" t="inlineStr"/>
    </row>
    <row r="154">
      <c r="A154" t="n">
        <v>153</v>
      </c>
      <c r="B154" t="inlineStr">
        <is>
          <t>이효리</t>
        </is>
      </c>
      <c r="C154" t="inlineStr">
        <is>
          <t>spillover</t>
        </is>
      </c>
      <c r="D154" s="2" t="inlineStr">
        <is>
          <t>국민대학교 학위수여식 축하공연이 '국민대 발칵 뒤집어 놓은 축하공연'이라는 반응을 얻었다.</t>
        </is>
      </c>
      <c r="E154" t="inlineStr"/>
      <c r="F154" t="inlineStr">
        <is>
          <t>N</t>
        </is>
      </c>
      <c r="G154" t="inlineStr"/>
      <c r="H154" s="6" t="inlineStr"/>
      <c r="I154" t="inlineStr"/>
      <c r="J154" t="inlineStr"/>
      <c r="K154" t="inlineStr"/>
    </row>
    <row r="155">
      <c r="A155" t="n">
        <v>154</v>
      </c>
      <c r="B155" t="inlineStr">
        <is>
          <t>BLACKPINK</t>
        </is>
      </c>
      <c r="C155" t="inlineStr">
        <is>
          <t>spillover</t>
        </is>
      </c>
      <c r="D155" s="2" t="inlineStr">
        <is>
          <t>BLACKPINK's "GO" single and "DEADLINE" album (Feb 27, 2026) marked their 11th Billboard Hot 100 entry (surpassing all K-pop girl groups), 5th Billboard 200 entry, and 12th entry on the UK Official Singles Chart (No. 44)</t>
        </is>
      </c>
      <c r="E155" t="inlineStr"/>
      <c r="F155" t="inlineStr">
        <is>
          <t>N</t>
        </is>
      </c>
      <c r="G155" t="inlineStr"/>
      <c r="H155" s="6" t="inlineStr"/>
      <c r="I155" t="inlineStr"/>
      <c r="J155" t="inlineStr"/>
      <c r="K155" t="inlineStr"/>
    </row>
    <row r="156">
      <c r="A156" t="n">
        <v>155</v>
      </c>
      <c r="B156" t="inlineStr">
        <is>
          <t>카더가든</t>
        </is>
      </c>
      <c r="C156" t="inlineStr">
        <is>
          <t>spillover</t>
        </is>
      </c>
      <c r="D156" s="2" t="inlineStr">
        <is>
          <t>2019년 5월 12일·19일 '복면가왕' 102대 가왕전에서 56~72표를 얻어 우승했다</t>
        </is>
      </c>
      <c r="E156" t="inlineStr"/>
      <c r="F156" t="inlineStr">
        <is>
          <t>N</t>
        </is>
      </c>
      <c r="G156" t="inlineStr"/>
      <c r="H156" s="6" t="inlineStr"/>
      <c r="I156" t="inlineStr"/>
      <c r="J156" t="inlineStr"/>
      <c r="K156" t="inlineStr"/>
    </row>
    <row r="157">
      <c r="A157" t="n">
        <v>156</v>
      </c>
      <c r="B157" t="inlineStr">
        <is>
          <t>청하</t>
        </is>
      </c>
      <c r="C157" t="inlineStr">
        <is>
          <t>spillover</t>
        </is>
      </c>
      <c r="D157" s="2" t="inlineStr">
        <is>
          <t>청하가 2019년 LG유플러스의 증강현실 서비스 'U+AR' 광고에 출연했다.</t>
        </is>
      </c>
      <c r="E157" t="inlineStr"/>
      <c r="F157" t="inlineStr">
        <is>
          <t>N</t>
        </is>
      </c>
      <c r="G157" t="inlineStr"/>
      <c r="H157" s="6" t="inlineStr"/>
      <c r="I157" t="inlineStr"/>
      <c r="J157" t="inlineStr"/>
      <c r="K157" t="inlineStr"/>
    </row>
    <row r="158">
      <c r="A158" t="n">
        <v>157</v>
      </c>
      <c r="B158" t="inlineStr">
        <is>
          <t>다비치</t>
        </is>
      </c>
      <c r="C158" t="inlineStr">
        <is>
          <t>loyalty</t>
        </is>
      </c>
      <c r="D158" s="2" t="inlineStr">
        <is>
          <t>콘서트 'TIME CAPSULE : 시간을 잇다' 티켓 오픈 후 이틀 만에 전석 매진(2026)</t>
        </is>
      </c>
      <c r="E158" t="inlineStr"/>
      <c r="F158" t="inlineStr">
        <is>
          <t>N</t>
        </is>
      </c>
      <c r="G158" t="inlineStr"/>
      <c r="H158" s="6" t="inlineStr"/>
      <c r="I158" t="inlineStr"/>
      <c r="J158" t="inlineStr"/>
      <c r="K158" t="inlineStr"/>
    </row>
    <row r="159">
      <c r="A159" t="n">
        <v>158</v>
      </c>
      <c r="B159" t="inlineStr">
        <is>
          <t>EXO</t>
        </is>
      </c>
      <c r="C159" t="inlineStr">
        <is>
          <t>spillover</t>
        </is>
      </c>
      <c r="D159" s="2" t="inlineStr">
        <is>
          <t>EXO's "EXO Planet 6 – EXhOrizon" tour includes stops in Ho Chi Minh City (Vietnam), Bangkok (Thailand), Jakarta (Indonesia), Macau (China), and Nagoya/Osaka (Japan)</t>
        </is>
      </c>
      <c r="E159" t="inlineStr"/>
      <c r="F159" t="inlineStr">
        <is>
          <t>N</t>
        </is>
      </c>
      <c r="G159" t="inlineStr"/>
      <c r="H159" s="6" t="inlineStr"/>
      <c r="I159" t="inlineStr"/>
      <c r="J159" t="inlineStr"/>
      <c r="K159" t="inlineStr"/>
    </row>
    <row r="160">
      <c r="A160" t="n">
        <v>159</v>
      </c>
      <c r="B160" t="inlineStr">
        <is>
          <t>Hearts2Hearts</t>
        </is>
      </c>
      <c r="C160" t="inlineStr">
        <is>
          <t>spillover</t>
        </is>
      </c>
      <c r="D160" s="2" t="inlineStr">
        <is>
          <t>JTBC '아는 형님'(2026.3.14)에 전원 출연</t>
        </is>
      </c>
      <c r="E160" t="inlineStr"/>
      <c r="F160" t="inlineStr">
        <is>
          <t>N</t>
        </is>
      </c>
      <c r="G160" t="inlineStr"/>
      <c r="H160" s="6" t="inlineStr"/>
      <c r="I160" t="inlineStr"/>
      <c r="J160" t="inlineStr"/>
      <c r="K160" t="inlineStr"/>
    </row>
    <row r="161">
      <c r="A161" t="n">
        <v>160</v>
      </c>
      <c r="B161" t="inlineStr">
        <is>
          <t>윤도현</t>
        </is>
      </c>
      <c r="C161" t="inlineStr">
        <is>
          <t>loyalty</t>
        </is>
      </c>
      <c r="D161" s="2" t="inlineStr">
        <is>
          <t>2002 한일 월드컵 당시 '오 필승 코리아'가 폭발적 인기를 얻으며 YB는 단숨에 '국민 밴드'로 급부상해 대중적 지지 기반을 넓혔다.</t>
        </is>
      </c>
      <c r="E161" t="inlineStr"/>
      <c r="F161" t="inlineStr">
        <is>
          <t>N</t>
        </is>
      </c>
      <c r="G161" t="inlineStr"/>
      <c r="H161" s="6" t="inlineStr"/>
      <c r="I161" t="inlineStr"/>
      <c r="J161" t="inlineStr"/>
      <c r="K161" t="inlineStr"/>
    </row>
    <row r="162">
      <c r="A162" t="n">
        <v>161</v>
      </c>
      <c r="B162" t="inlineStr">
        <is>
          <t>브라운아이즈</t>
        </is>
      </c>
      <c r="C162" t="inlineStr">
        <is>
          <t>spillover</t>
        </is>
      </c>
      <c r="D162" s="2" t="inlineStr">
        <is>
          <t>3집 'Two Things Needed for the Same Purpose and 5 Objets'(2008.6.19 발매)는 발매 2일 만에 5만장(2년만의 신기록), 발매 2주 후인 7월8일 한터차트 기준 8만장을 돌파했다</t>
        </is>
      </c>
      <c r="E162" t="inlineStr"/>
      <c r="F162" t="inlineStr">
        <is>
          <t>N</t>
        </is>
      </c>
      <c r="G162" t="inlineStr"/>
      <c r="H162" s="6" t="inlineStr"/>
      <c r="I162" t="inlineStr"/>
      <c r="J162" t="inlineStr"/>
      <c r="K162" t="inlineStr"/>
    </row>
    <row r="163">
      <c r="A163" t="n">
        <v>162</v>
      </c>
      <c r="B163" t="inlineStr">
        <is>
          <t>케이윌</t>
        </is>
      </c>
      <c r="C163" t="inlineStr">
        <is>
          <t>spillover</t>
        </is>
      </c>
      <c r="D163" s="2" t="inlineStr">
        <is>
          <t>일본 티켓 정보 사이트에 따르면 케이윌은 2026년 11월 10일 일본에서 'K-Drama OST Tribute Concert 2026'을 개최할 예정이다.</t>
        </is>
      </c>
      <c r="E163" t="inlineStr"/>
      <c r="F163" t="inlineStr">
        <is>
          <t>N</t>
        </is>
      </c>
      <c r="G163" t="inlineStr"/>
      <c r="H163" s="6" t="inlineStr"/>
      <c r="I163" t="inlineStr"/>
      <c r="J163" t="inlineStr"/>
      <c r="K163" t="inlineStr"/>
    </row>
    <row r="164">
      <c r="A164" t="n">
        <v>163</v>
      </c>
      <c r="B164" t="inlineStr">
        <is>
          <t>RIIZE</t>
        </is>
      </c>
      <c r="C164" t="inlineStr">
        <is>
          <t>spillover</t>
        </is>
      </c>
      <c r="D164" s="2" t="inlineStr">
        <is>
          <t>라이즈, 첫 리얼리티 예능 'BOSS RIIZE' 출연…불꽃 승부욕 발동</t>
        </is>
      </c>
      <c r="E164" t="inlineStr"/>
      <c r="F164" t="inlineStr">
        <is>
          <t>N</t>
        </is>
      </c>
      <c r="G164" t="inlineStr"/>
      <c r="H164" s="6" t="inlineStr"/>
      <c r="I164" t="inlineStr"/>
      <c r="J164" t="inlineStr"/>
      <c r="K164" t="inlineStr"/>
    </row>
    <row r="165">
      <c r="A165" t="n">
        <v>164</v>
      </c>
      <c r="B165" t="inlineStr">
        <is>
          <t>BLACKPINK</t>
        </is>
      </c>
      <c r="C165" t="inlineStr">
        <is>
          <t>loyalty</t>
        </is>
      </c>
      <c r="D165" s="2" t="inlineStr">
        <is>
          <t>The Born Pink World Tour (2022–23) drew 1.8 million total attendees across its run, reflecting sustained ticket demand across markets.</t>
        </is>
      </c>
      <c r="E165" t="inlineStr"/>
      <c r="F165" t="inlineStr">
        <is>
          <t>N</t>
        </is>
      </c>
      <c r="G165" t="inlineStr"/>
      <c r="H165" s="6" t="inlineStr"/>
      <c r="I165" t="inlineStr"/>
      <c r="J165" t="inlineStr"/>
      <c r="K165" t="inlineStr"/>
    </row>
    <row r="166">
      <c r="A166" t="n">
        <v>165</v>
      </c>
      <c r="B166" t="inlineStr">
        <is>
          <t>LE SSERAFIM</t>
        </is>
      </c>
      <c r="C166" t="inlineStr">
        <is>
          <t>loyalty</t>
        </is>
      </c>
      <c r="D166" s="2" t="inlineStr">
        <is>
          <t>르세라핌은 2026년 5월 데뷔 4주년을 맞아 전 세계 피어나와 함께하는 기념 프로젝트 'CELEBRATION'을 진행했다.</t>
        </is>
      </c>
      <c r="E166" t="inlineStr"/>
      <c r="F166" t="inlineStr">
        <is>
          <t>N</t>
        </is>
      </c>
      <c r="G166" t="inlineStr"/>
      <c r="H166" s="6" t="inlineStr"/>
      <c r="I166" t="inlineStr"/>
      <c r="J166" t="inlineStr"/>
      <c r="K166" t="inlineStr"/>
    </row>
    <row r="167">
      <c r="A167" s="7" t="n">
        <v>166</v>
      </c>
      <c r="B167" s="7" t="inlineStr">
        <is>
          <t>송가인</t>
        </is>
      </c>
      <c r="C167" s="7" t="inlineStr">
        <is>
          <t>spillover</t>
        </is>
      </c>
      <c r="D167" s="8" t="inlineStr">
        <is>
          <t>2026년 9월 명량대첩축제의 '명량 트롯나이트' 무대에 출연 예정이며, 군은 그의 인지도를 활용해 대파·구기자·김·전복·홍주 등 지역 특산물 홍보도 함께 추진할 계획이다</t>
        </is>
      </c>
      <c r="E167" s="7" t="inlineStr"/>
      <c r="F167" s="7" t="inlineStr">
        <is>
          <t>Y</t>
        </is>
      </c>
      <c r="G167" s="7" t="inlineStr">
        <is>
          <t>명량대첩축제(전남 해남) — 해남·명량 없음</t>
        </is>
      </c>
      <c r="H167" s="7" t="inlineStr"/>
      <c r="I167" s="7" t="inlineStr"/>
      <c r="J167" s="7" t="inlineStr"/>
      <c r="K167" s="7" t="inlineStr"/>
    </row>
    <row r="168">
      <c r="A168" t="n">
        <v>167</v>
      </c>
      <c r="B168" t="inlineStr">
        <is>
          <t>권은비</t>
        </is>
      </c>
      <c r="C168" t="inlineStr">
        <is>
          <t>spillover</t>
        </is>
      </c>
      <c r="D168" s="2" t="inlineStr">
        <is>
          <t>SBS 파워FM '영스트리트' 라디오 DJ로 2023년 7월부터 2024년 8월까지 활동했다</t>
        </is>
      </c>
      <c r="E168" t="inlineStr"/>
      <c r="F168" t="inlineStr">
        <is>
          <t>N</t>
        </is>
      </c>
      <c r="G168" t="inlineStr"/>
      <c r="H168" s="6" t="inlineStr"/>
      <c r="I168" t="inlineStr"/>
      <c r="J168" t="inlineStr"/>
      <c r="K168" t="inlineStr"/>
    </row>
    <row r="169">
      <c r="A169" t="n">
        <v>168</v>
      </c>
      <c r="B169" t="inlineStr">
        <is>
          <t>박재범</t>
        </is>
      </c>
      <c r="C169" t="inlineStr">
        <is>
          <t>loyalty</t>
        </is>
      </c>
      <c r="D169" s="2" t="inlineStr">
        <is>
          <t>박재범이 PSY와 함께 하노이 K-PULSE 2026 음악 축제에 참여한다.</t>
        </is>
      </c>
      <c r="E169" t="inlineStr"/>
      <c r="F169" t="inlineStr">
        <is>
          <t>N</t>
        </is>
      </c>
      <c r="G169" t="inlineStr"/>
      <c r="H169" s="6" t="inlineStr"/>
      <c r="I169" t="inlineStr"/>
      <c r="J169" t="inlineStr"/>
      <c r="K169" t="inlineStr"/>
    </row>
    <row r="170">
      <c r="A170" t="n">
        <v>169</v>
      </c>
      <c r="B170" t="inlineStr">
        <is>
          <t>(여자)아이들</t>
        </is>
      </c>
      <c r="C170" t="inlineStr">
        <is>
          <t>loyalty</t>
        </is>
      </c>
      <c r="D170" s="2" t="inlineStr">
        <is>
          <t>Weibo (CUBE_G-I-DLE official account, Taiwan regional subdomain) posted content around the "말리지 마" (Don't Get Me Wrong) music video release, part of ongoing fan-facing activity on the group's official Weibo channel</t>
        </is>
      </c>
      <c r="E170" t="inlineStr"/>
      <c r="F170" t="inlineStr">
        <is>
          <t>N</t>
        </is>
      </c>
      <c r="G170" t="inlineStr"/>
      <c r="H170" s="6" t="inlineStr"/>
      <c r="I170" t="inlineStr"/>
      <c r="J170" t="inlineStr"/>
      <c r="K170" t="inlineStr"/>
    </row>
    <row r="171">
      <c r="A171" t="n">
        <v>170</v>
      </c>
      <c r="B171" t="inlineStr">
        <is>
          <t>김연자</t>
        </is>
      </c>
      <c r="C171" t="inlineStr">
        <is>
          <t>spillover</t>
        </is>
      </c>
      <c r="D171" s="2" t="inlineStr">
        <is>
          <t>김연자는 일본에서 1999년 제32회 일본작사대상 우수상, 2000년 제21회 마츠오 예술상, 2001년 일본 레코드대상 기획상, 2003년 제36회 일본유선대상 최다 리퀘스트 가수상(TBS-TV 생중계) 등을 수상했다.</t>
        </is>
      </c>
      <c r="E171" t="inlineStr"/>
      <c r="F171" t="inlineStr">
        <is>
          <t>N</t>
        </is>
      </c>
      <c r="G171" t="inlineStr"/>
      <c r="H171" s="6" t="inlineStr"/>
      <c r="I171" t="inlineStr"/>
      <c r="J171" t="inlineStr"/>
      <c r="K171" t="inlineStr"/>
    </row>
    <row r="172">
      <c r="A172" t="n">
        <v>171</v>
      </c>
      <c r="B172" t="inlineStr">
        <is>
          <t>정동원</t>
        </is>
      </c>
      <c r="C172" t="inlineStr">
        <is>
          <t>spillover</t>
        </is>
      </c>
      <c r="D172" s="2" t="inlineStr">
        <is>
          <t>Performed a duet with veteran singer Nam Jin at the 2020 Trot Awards.</t>
        </is>
      </c>
      <c r="E172" t="inlineStr"/>
      <c r="F172" t="inlineStr">
        <is>
          <t>N</t>
        </is>
      </c>
      <c r="G172" t="inlineStr"/>
      <c r="H172" s="6" t="inlineStr"/>
      <c r="I172" t="inlineStr"/>
      <c r="J172" t="inlineStr"/>
      <c r="K172" t="inlineStr"/>
    </row>
    <row r="173">
      <c r="A173" t="n">
        <v>172</v>
      </c>
      <c r="B173" t="inlineStr">
        <is>
          <t>권은비</t>
        </is>
      </c>
      <c r="C173" t="inlineStr">
        <is>
          <t>spillover</t>
        </is>
      </c>
      <c r="D173" s="2" t="inlineStr">
        <is>
          <t>코디한 의상이 공연 못지않게 화제가 되어 패션 매체에서 가성비 코디로 별도 소개됨</t>
        </is>
      </c>
      <c r="E173" t="inlineStr"/>
      <c r="F173" t="inlineStr">
        <is>
          <t>N</t>
        </is>
      </c>
      <c r="G173" t="inlineStr"/>
      <c r="H173" s="6" t="inlineStr"/>
      <c r="I173" t="inlineStr"/>
      <c r="J173" t="inlineStr"/>
      <c r="K173" t="inlineStr"/>
    </row>
    <row r="174">
      <c r="A174" t="n">
        <v>173</v>
      </c>
      <c r="B174" t="inlineStr">
        <is>
          <t>LE SSERAFIM</t>
        </is>
      </c>
      <c r="C174" t="inlineStr">
        <is>
          <t>spillover</t>
        </is>
      </c>
      <c r="D174" s="2" t="inlineStr">
        <is>
          <t>루이비통 하우스 앰버서더, 소니(Sony) 글로벌 앰버서더로 활동하고 있다.</t>
        </is>
      </c>
      <c r="E174" t="inlineStr"/>
      <c r="F174" t="inlineStr">
        <is>
          <t>N</t>
        </is>
      </c>
      <c r="G174" t="inlineStr"/>
      <c r="H174" s="6" t="inlineStr"/>
      <c r="I174" t="inlineStr"/>
      <c r="J174" t="inlineStr"/>
      <c r="K174" t="inlineStr"/>
    </row>
    <row r="175">
      <c r="A175" t="n">
        <v>174</v>
      </c>
      <c r="B175" t="inlineStr">
        <is>
          <t>NCT</t>
        </is>
      </c>
      <c r="C175" t="inlineStr">
        <is>
          <t>spillover</t>
        </is>
      </c>
      <c r="D175" s="2" t="inlineStr">
        <is>
          <t>나무위키 '도영' 문서의 수상 경력에 따르면 도영이 부른 드라마 OST 곡 'Like a Star'는 2022년 태국 TOP TEN AWARDS에서 'Best Artists of K-Drama OST in Thailand' 부문을 수상하며 해외에서 K-드라마 OST 가수로서 인정받았다.</t>
        </is>
      </c>
      <c r="E175" t="inlineStr"/>
      <c r="F175" t="inlineStr">
        <is>
          <t>N</t>
        </is>
      </c>
      <c r="G175" t="inlineStr"/>
      <c r="H175" s="6" t="inlineStr"/>
      <c r="I175" t="inlineStr"/>
      <c r="J175" t="inlineStr"/>
      <c r="K175" t="inlineStr"/>
    </row>
    <row r="176">
      <c r="A176" t="n">
        <v>175</v>
      </c>
      <c r="B176" t="inlineStr">
        <is>
          <t>투어스(TWS)</t>
        </is>
      </c>
      <c r="C176" t="inlineStr">
        <is>
          <t>spillover</t>
        </is>
      </c>
      <c r="D176" s="2" t="inlineStr">
        <is>
          <t>TWS serves as brand ambassadors/models for a wide range of commercial categories simultaneously, including Roobliss (hair brand, first official ambassador), BeginS by JUNGSAEMMOOL (skincare), Jim Beam bourbon whiskey (members Shin-yu and Do-hoon), MLB casual apparel, and CELINE luxury fashion.</t>
        </is>
      </c>
      <c r="E176" t="inlineStr"/>
      <c r="F176" t="inlineStr">
        <is>
          <t>N</t>
        </is>
      </c>
      <c r="G176" t="inlineStr"/>
      <c r="H176" s="6" t="inlineStr"/>
      <c r="I176" t="inlineStr"/>
      <c r="J176" t="inlineStr"/>
      <c r="K176" t="inlineStr"/>
    </row>
    <row r="177">
      <c r="A177" t="n">
        <v>176</v>
      </c>
      <c r="B177" t="inlineStr">
        <is>
          <t>ITZY</t>
        </is>
      </c>
      <c r="C177" t="inlineStr">
        <is>
          <t>spillover</t>
        </is>
      </c>
      <c r="D177" s="2" t="inlineStr">
        <is>
          <t>ITZY는 2026년 호주·뉴질랜드 아레나 투어를 확정하며 해외 진출을 이어갔다.</t>
        </is>
      </c>
      <c r="E177" t="inlineStr"/>
      <c r="F177" t="inlineStr">
        <is>
          <t>N</t>
        </is>
      </c>
      <c r="G177" t="inlineStr"/>
      <c r="H177" s="6" t="inlineStr"/>
      <c r="I177" t="inlineStr"/>
      <c r="J177" t="inlineStr"/>
      <c r="K177" t="inlineStr"/>
    </row>
    <row r="178">
      <c r="A178" t="n">
        <v>177</v>
      </c>
      <c r="B178" t="inlineStr">
        <is>
          <t>10CM</t>
        </is>
      </c>
      <c r="C178" t="inlineStr">
        <is>
          <t>spillover</t>
        </is>
      </c>
      <c r="D178" s="2" t="inlineStr">
        <is>
          <t>한국저작권보호원의 2025년 저작권 보호 캠페인송 '바로지금송'에 보컬로 참여해 공공기관과의 홍보 협업 사례를 남겼다.</t>
        </is>
      </c>
      <c r="E178" t="inlineStr"/>
      <c r="F178" t="inlineStr">
        <is>
          <t>N</t>
        </is>
      </c>
      <c r="G178" t="inlineStr"/>
      <c r="H178" s="6" t="inlineStr"/>
      <c r="I178" t="inlineStr"/>
      <c r="J178" t="inlineStr"/>
      <c r="K178" t="inlineStr"/>
    </row>
    <row r="179">
      <c r="A179" t="n">
        <v>178</v>
      </c>
      <c r="B179" t="inlineStr">
        <is>
          <t>LE SSERAFIM</t>
        </is>
      </c>
      <c r="C179" t="inlineStr">
        <is>
          <t>spillover</t>
        </is>
      </c>
      <c r="D179" s="2" t="inlineStr">
        <is>
          <t>인도네시아 detik.com(wolipop)은 LE SSERAFIM 5인 전원이 2023년 10월 BTS에 이어 루이비통의 하우스 앰버서더로 발탁되었다고 보도했다</t>
        </is>
      </c>
      <c r="E179" t="inlineStr"/>
      <c r="F179" t="inlineStr">
        <is>
          <t>N</t>
        </is>
      </c>
      <c r="G179" t="inlineStr"/>
      <c r="H179" s="6" t="inlineStr"/>
      <c r="I179" t="inlineStr"/>
      <c r="J179" t="inlineStr"/>
      <c r="K179" t="inlineStr"/>
    </row>
    <row r="180">
      <c r="A180" t="n">
        <v>179</v>
      </c>
      <c r="B180" t="inlineStr">
        <is>
          <t>NCT</t>
        </is>
      </c>
      <c r="C180" t="inlineStr">
        <is>
          <t>spillover</t>
        </is>
      </c>
      <c r="D180" s="2" t="inlineStr">
        <is>
          <t>NCT Yuta의 데뷔 미니앨범 'Depth'가 일본에서 41,214장 판매되어 빌보드 재팬 앨범 차트 3위를 기록</t>
        </is>
      </c>
      <c r="E180" t="inlineStr"/>
      <c r="F180" t="inlineStr">
        <is>
          <t>N</t>
        </is>
      </c>
      <c r="G180" t="inlineStr"/>
      <c r="H180" s="6" t="inlineStr"/>
      <c r="I180" t="inlineStr"/>
      <c r="J180" t="inlineStr"/>
      <c r="K180" t="inlineStr"/>
    </row>
    <row r="181">
      <c r="A181" t="n">
        <v>180</v>
      </c>
      <c r="B181" t="inlineStr">
        <is>
          <t>BTOB</t>
        </is>
      </c>
      <c r="C181" t="inlineStr">
        <is>
          <t>loyalty</t>
        </is>
      </c>
      <c r="D181" s="2" t="inlineStr">
        <is>
          <t>2015년 12월 두 번째 단독 콘서트 티켓이 오픈 5분 만에 매진되었다.</t>
        </is>
      </c>
      <c r="E181" t="inlineStr"/>
      <c r="F181" t="inlineStr">
        <is>
          <t>N</t>
        </is>
      </c>
      <c r="G181" t="inlineStr"/>
      <c r="H181" s="6" t="inlineStr"/>
      <c r="I181" t="inlineStr"/>
      <c r="J181" t="inlineStr"/>
      <c r="K181" t="inlineStr"/>
    </row>
    <row r="182">
      <c r="A182" t="n">
        <v>181</v>
      </c>
      <c r="B182" t="inlineStr">
        <is>
          <t>god</t>
        </is>
      </c>
      <c r="C182" t="inlineStr">
        <is>
          <t>loyalty</t>
        </is>
      </c>
      <c r="D182" s="2" t="inlineStr">
        <is>
          <t>g.o.d 대니 안이 2026년 1월 24일 연세대 대강당에서 개인 팬미팅 '2025 Danny's Day [Dan STUDIO]'를 개최한다고 allkpop이 보도했다.</t>
        </is>
      </c>
      <c r="E182" t="inlineStr"/>
      <c r="F182" t="inlineStr">
        <is>
          <t>N</t>
        </is>
      </c>
      <c r="G182" t="inlineStr"/>
      <c r="H182" s="6" t="inlineStr"/>
      <c r="I182" t="inlineStr"/>
      <c r="J182" t="inlineStr"/>
      <c r="K182" t="inlineStr"/>
    </row>
    <row r="183">
      <c r="A183" t="n">
        <v>182</v>
      </c>
      <c r="B183" t="inlineStr">
        <is>
          <t>잔나비</t>
        </is>
      </c>
      <c r="C183" t="inlineStr">
        <is>
          <t>spillover</t>
        </is>
      </c>
      <c r="D183" s="2" t="inlineStr">
        <is>
          <t>2022년 히든싱어 방영 이후 같은 곡이 역주행해 9월 25일 멜론 일간순위 74위까지 재상승했다</t>
        </is>
      </c>
      <c r="E183" t="inlineStr"/>
      <c r="F183" t="inlineStr">
        <is>
          <t>N</t>
        </is>
      </c>
      <c r="G183" t="inlineStr"/>
      <c r="H183" s="6" t="inlineStr"/>
      <c r="I183" t="inlineStr"/>
      <c r="J183" t="inlineStr"/>
      <c r="K183" t="inlineStr"/>
    </row>
    <row r="184">
      <c r="A184" t="n">
        <v>183</v>
      </c>
      <c r="B184" t="inlineStr">
        <is>
          <t>A-pink</t>
        </is>
      </c>
      <c r="C184" t="inlineStr">
        <is>
          <t>spillover</t>
        </is>
      </c>
      <c r="D184" s="2" t="inlineStr">
        <is>
          <t>홍콩01은 Apink 홍콩 공연에서 은지가 그룹을 홍콩에 데려오겠다는 과거 약속을 지켰다고 "恩地實現承諾帶組合來港" 제하로 보도했다.</t>
        </is>
      </c>
      <c r="E184" t="inlineStr"/>
      <c r="F184" t="inlineStr">
        <is>
          <t>N</t>
        </is>
      </c>
      <c r="G184" t="inlineStr"/>
      <c r="H184" s="6" t="inlineStr"/>
      <c r="I184" t="inlineStr"/>
      <c r="J184" t="inlineStr"/>
      <c r="K184" t="inlineStr"/>
    </row>
    <row r="185">
      <c r="A185" t="n">
        <v>184</v>
      </c>
      <c r="B185" t="inlineStr">
        <is>
          <t>NewJeans</t>
        </is>
      </c>
      <c r="C185" t="inlineStr">
        <is>
          <t>spillover</t>
        </is>
      </c>
      <c r="D185" s="2" t="inlineStr">
        <is>
          <t>뉴진스가 2024년 5월 데뷔 후 최다인 7개 대학 축제 무대에 올라 '뜨거운 호응'을 얻었으며, 신곡 발매 시점에 맞춘 출연으로 대중적 친근감을 높였다는 평가를 받았다. 뉴진스는 해당 출연료 전액을 기부해 화제를 더했다.</t>
        </is>
      </c>
      <c r="E185" t="inlineStr"/>
      <c r="F185" t="inlineStr">
        <is>
          <t>N</t>
        </is>
      </c>
      <c r="G185" t="inlineStr"/>
      <c r="H185" s="6" t="inlineStr"/>
      <c r="I185" t="inlineStr"/>
      <c r="J185" t="inlineStr"/>
      <c r="K185" t="inlineStr"/>
    </row>
    <row r="186">
      <c r="A186" t="n">
        <v>185</v>
      </c>
      <c r="B186" t="inlineStr">
        <is>
          <t>GOT7</t>
        </is>
      </c>
      <c r="C186" t="inlineStr">
        <is>
          <t>spillover</t>
        </is>
      </c>
      <c r="D186" s="2" t="inlineStr">
        <is>
          <t>마크(GOT7)는 2020년 중국 시장에서 멘소래담 아크네스(스킨케어)와 함께 중국 최대 통신사 차이나유니콤(China Unicom)의 광고 모델로 활동했다.</t>
        </is>
      </c>
      <c r="E186" t="inlineStr"/>
      <c r="F186" t="inlineStr">
        <is>
          <t>N</t>
        </is>
      </c>
      <c r="G186" t="inlineStr"/>
      <c r="H186" s="6" t="inlineStr"/>
      <c r="I186" t="inlineStr"/>
      <c r="J186" t="inlineStr"/>
      <c r="K186" t="inlineStr"/>
    </row>
    <row r="187">
      <c r="A187" t="n">
        <v>186</v>
      </c>
      <c r="B187" t="inlineStr">
        <is>
          <t>김호중</t>
        </is>
      </c>
      <c r="C187" t="inlineStr">
        <is>
          <t>spillover</t>
        </is>
      </c>
      <c r="D187" s="2" t="inlineStr">
        <is>
          <t>2025.8 국내 유일 민영교도소 '소망교도소'로 이감</t>
        </is>
      </c>
      <c r="E187" t="inlineStr"/>
      <c r="F187" t="inlineStr">
        <is>
          <t>N</t>
        </is>
      </c>
      <c r="G187" t="inlineStr"/>
      <c r="H187" s="6" t="inlineStr"/>
      <c r="I187" t="inlineStr"/>
      <c r="J187" t="inlineStr"/>
      <c r="K187" t="inlineStr"/>
    </row>
    <row r="188">
      <c r="A188" t="n">
        <v>187</v>
      </c>
      <c r="B188" t="inlineStr">
        <is>
          <t>BLACKPINK</t>
        </is>
      </c>
      <c r="C188" t="inlineStr">
        <is>
          <t>spillover</t>
        </is>
      </c>
      <c r="D188" s="2" t="inlineStr">
        <is>
          <t>The "Born Pink" world tour overall grossed approximately $260.6 million with 1.5 million tickets sold, making it the highest-grossing girl-group tour of all time</t>
        </is>
      </c>
      <c r="E188" t="inlineStr"/>
      <c r="F188" t="inlineStr">
        <is>
          <t>N</t>
        </is>
      </c>
      <c r="G188" t="inlineStr"/>
      <c r="H188" s="6" t="inlineStr"/>
      <c r="I188" t="inlineStr"/>
      <c r="J188" t="inlineStr"/>
      <c r="K188" t="inlineStr"/>
    </row>
    <row r="189">
      <c r="A189" t="n">
        <v>188</v>
      </c>
      <c r="B189" t="inlineStr">
        <is>
          <t>TWICE</t>
        </is>
      </c>
      <c r="C189" t="inlineStr">
        <is>
          <t>spillover</t>
        </is>
      </c>
      <c r="D189" s="2" t="inlineStr">
        <is>
          <t>2024년 11월 21일 TWICE는 미국 NFL 목요일 경기 생중계 직후 송출되는 온라인 스트리밍 콘서트 시리즈 '아마존 뮤직 라이브'에 K-Pop 아티스트 최초로 출연했다.</t>
        </is>
      </c>
      <c r="E189" t="inlineStr"/>
      <c r="F189" t="inlineStr">
        <is>
          <t>N</t>
        </is>
      </c>
      <c r="G189" t="inlineStr"/>
      <c r="H189" s="6" t="inlineStr"/>
      <c r="I189" t="inlineStr"/>
      <c r="J189" t="inlineStr"/>
      <c r="K189" t="inlineStr"/>
    </row>
    <row r="190">
      <c r="A190" t="n">
        <v>189</v>
      </c>
      <c r="B190" t="inlineStr">
        <is>
          <t>지드래곤 (G-Dragon)</t>
        </is>
      </c>
      <c r="C190" t="inlineStr">
        <is>
          <t>spillover</t>
        </is>
      </c>
      <c r="D190" s="2" t="inlineStr">
        <is>
          <t>2025년 국내 연예인 추정 연봉 순위에서 지드래곤이 솔로 활동·패션 브랜드·광고 모델 수익으로 약 100억 원 이상을 기록하며 1위로 추정됐다.</t>
        </is>
      </c>
      <c r="E190" t="inlineStr"/>
      <c r="F190" t="inlineStr">
        <is>
          <t>N</t>
        </is>
      </c>
      <c r="G190" t="inlineStr"/>
      <c r="H190" s="6" t="inlineStr"/>
      <c r="I190" t="inlineStr"/>
      <c r="J190" t="inlineStr"/>
      <c r="K190" t="inlineStr"/>
    </row>
    <row r="191">
      <c r="A191" t="n">
        <v>190</v>
      </c>
      <c r="B191" t="inlineStr">
        <is>
          <t>ITZY</t>
        </is>
      </c>
      <c r="C191" t="inlineStr">
        <is>
          <t>spillover</t>
        </is>
      </c>
      <c r="D191" s="2" t="inlineStr">
        <is>
          <t>ITZY는 2024년 'Born to Be' 월드투어의 일환으로 4월 24일 런던 OVO 아레나 웸블리 공연을 열었다고 NME가 보도했다.</t>
        </is>
      </c>
      <c r="E191" t="inlineStr"/>
      <c r="F191" t="inlineStr">
        <is>
          <t>N</t>
        </is>
      </c>
      <c r="G191" t="inlineStr"/>
      <c r="H191" s="6" t="inlineStr"/>
      <c r="I191" t="inlineStr"/>
      <c r="J191" t="inlineStr"/>
      <c r="K191" t="inlineStr"/>
    </row>
    <row r="192">
      <c r="A192" t="n">
        <v>191</v>
      </c>
      <c r="B192" t="inlineStr">
        <is>
          <t>슈퍼주니어</t>
        </is>
      </c>
      <c r="C192" t="inlineStr">
        <is>
          <t>loyalty</t>
        </is>
      </c>
      <c r="D192" s="2" t="inlineStr">
        <is>
          <t>'Super Show 5' 마닐라 콘서트로 필리핀 팬들을 열광시켰다고 오래전부터 보도된 바 있음</t>
        </is>
      </c>
      <c r="E192" t="inlineStr"/>
      <c r="F192" t="inlineStr">
        <is>
          <t>N</t>
        </is>
      </c>
      <c r="G192" t="inlineStr"/>
      <c r="H192" s="6" t="inlineStr"/>
      <c r="I192" t="inlineStr"/>
      <c r="J192" t="inlineStr"/>
      <c r="K192" t="inlineStr"/>
    </row>
    <row r="193">
      <c r="A193" t="n">
        <v>192</v>
      </c>
      <c r="B193" t="inlineStr">
        <is>
          <t>A-pink</t>
        </is>
      </c>
      <c r="C193" t="inlineStr">
        <is>
          <t>loyalty</t>
        </is>
      </c>
      <c r="D193" s="2" t="inlineStr">
        <is>
          <t>Apink 정은지, 태국에서 첫 솔로 단독 콘서트 개최, 감미로운 목소리 선사</t>
        </is>
      </c>
      <c r="E193" t="inlineStr"/>
      <c r="F193" t="inlineStr">
        <is>
          <t>N</t>
        </is>
      </c>
      <c r="G193" t="inlineStr"/>
      <c r="H193" s="6" t="inlineStr"/>
      <c r="I193" t="inlineStr"/>
      <c r="J193" t="inlineStr"/>
      <c r="K193" t="inlineStr"/>
    </row>
    <row r="194">
      <c r="A194" t="n">
        <v>193</v>
      </c>
      <c r="B194" t="inlineStr">
        <is>
          <t>김동률</t>
        </is>
      </c>
      <c r="C194" t="inlineStr">
        <is>
          <t>spillover</t>
        </is>
      </c>
      <c r="D194" s="2" t="inlineStr">
        <is>
          <t>박효신, 이승환, 강수지 등 다른 가수의 앨범에 작곡가로 참여했다.</t>
        </is>
      </c>
      <c r="E194" t="inlineStr"/>
      <c r="F194" t="inlineStr">
        <is>
          <t>N</t>
        </is>
      </c>
      <c r="G194" t="inlineStr"/>
      <c r="H194" s="6" t="inlineStr"/>
      <c r="I194" t="inlineStr"/>
      <c r="J194" t="inlineStr"/>
      <c r="K194" t="inlineStr"/>
    </row>
    <row r="195">
      <c r="A195" t="n">
        <v>194</v>
      </c>
      <c r="B195" t="inlineStr">
        <is>
          <t>NewJeans</t>
        </is>
      </c>
      <c r="C195" t="inlineStr">
        <is>
          <t>spillover</t>
        </is>
      </c>
      <c r="D195" s="2" t="inlineStr">
        <is>
          <t>NME는 NewJeans의 EP 'Get Up'을 리뷰하며 "아무도 이들과 견줄 수 없다(no one can hold a candle to them)"고 호평했다.</t>
        </is>
      </c>
      <c r="E195" t="inlineStr"/>
      <c r="F195" t="inlineStr">
        <is>
          <t>N</t>
        </is>
      </c>
      <c r="G195" t="inlineStr"/>
      <c r="H195" s="6" t="inlineStr"/>
      <c r="I195" t="inlineStr"/>
      <c r="J195" t="inlineStr"/>
      <c r="K195" t="inlineStr"/>
    </row>
    <row r="196">
      <c r="A196" t="n">
        <v>195</v>
      </c>
      <c r="B196" t="inlineStr">
        <is>
          <t>NCT</t>
        </is>
      </c>
      <c r="C196" t="inlineStr">
        <is>
          <t>loyalty</t>
        </is>
      </c>
      <c r="D196" s="2" t="inlineStr">
        <is>
          <t>'NCT 2020 Resonance'가 발매 두 달 만에 260만장 이상 팔리며 당시 SM엔터테인먼트 역대 최고 판매 실물 음반이 되었다.</t>
        </is>
      </c>
      <c r="E196" t="inlineStr"/>
      <c r="F196" t="inlineStr">
        <is>
          <t>N</t>
        </is>
      </c>
      <c r="G196" t="inlineStr"/>
      <c r="H196" s="6" t="inlineStr"/>
      <c r="I196" t="inlineStr"/>
      <c r="J196" t="inlineStr"/>
      <c r="K196" t="inlineStr"/>
    </row>
    <row r="197">
      <c r="A197" t="n">
        <v>196</v>
      </c>
      <c r="B197" t="inlineStr">
        <is>
          <t>HOT</t>
        </is>
      </c>
      <c r="C197" t="inlineStr">
        <is>
          <t>spillover</t>
        </is>
      </c>
      <c r="D197" s="2" t="inlineStr">
        <is>
          <t>H.O.T.는 데뷔 30주년을 맞아 2026년 1월 이커머스 플랫폼 G마켓 광고에 강타·문희준·장우혁·토니안·이재원 5인 완전체로 출연했다.</t>
        </is>
      </c>
      <c r="E197" t="inlineStr"/>
      <c r="F197" t="inlineStr">
        <is>
          <t>N</t>
        </is>
      </c>
      <c r="G197" t="inlineStr"/>
      <c r="H197" s="6" t="inlineStr"/>
      <c r="I197" t="inlineStr"/>
      <c r="J197" t="inlineStr"/>
      <c r="K197" t="inlineStr"/>
    </row>
    <row r="198">
      <c r="A198" t="n">
        <v>197</v>
      </c>
      <c r="B198" t="inlineStr">
        <is>
          <t>이승철</t>
        </is>
      </c>
      <c r="C198" t="inlineStr">
        <is>
          <t>spillover</t>
        </is>
      </c>
      <c r="D198" s="2" t="inlineStr">
        <is>
          <t>이승철은 2014년 중국 베이징에서 첫 단독 콘서트를 성황리에 마쳤다고 국제신문이 보도했다</t>
        </is>
      </c>
      <c r="E198" t="inlineStr"/>
      <c r="F198" t="inlineStr">
        <is>
          <t>N</t>
        </is>
      </c>
      <c r="G198" t="inlineStr"/>
      <c r="H198" s="6" t="inlineStr"/>
      <c r="I198" t="inlineStr"/>
      <c r="J198" t="inlineStr"/>
      <c r="K198" t="inlineStr"/>
    </row>
    <row r="199">
      <c r="A199" t="n">
        <v>198</v>
      </c>
      <c r="B199" t="inlineStr">
        <is>
          <t>아이유</t>
        </is>
      </c>
      <c r="C199" t="inlineStr">
        <is>
          <t>loyalty</t>
        </is>
      </c>
      <c r="D199" s="2" t="inlineStr">
        <is>
          <t>중국 더우반(Douban) 이용자는 "IU真的好真诚 巡演都会翻唱当地的歌曲"("IU는 정말 진실되다, 투어 때마다 현지 노래를 커버한다")라는 제목의 게시글을 올려 IU가 해외 투어 때마다 현지어 노래를 커버하는 성의를 팬 커뮤니티 차원에서 높이 평가했다.</t>
        </is>
      </c>
      <c r="E199" t="inlineStr"/>
      <c r="F199" t="inlineStr">
        <is>
          <t>N</t>
        </is>
      </c>
      <c r="G199" t="inlineStr"/>
      <c r="H199" s="6" t="inlineStr"/>
      <c r="I199" t="inlineStr"/>
      <c r="J199" t="inlineStr"/>
      <c r="K199" t="inlineStr"/>
    </row>
    <row r="200">
      <c r="A200" t="n">
        <v>199</v>
      </c>
      <c r="B200" t="inlineStr">
        <is>
          <t>Stray Kids</t>
        </is>
      </c>
      <c r="C200" t="inlineStr">
        <is>
          <t>loyalty</t>
        </is>
      </c>
      <c r="D200" s="2" t="inlineStr">
        <is>
          <t>'Noeasy' 음반이 110만장 넘게 팔리며 JYP엔터테인먼트 최초의 밀리언셀러 음반을 기록한 아티스트가 되었다.</t>
        </is>
      </c>
      <c r="E200" t="inlineStr"/>
      <c r="F200" t="inlineStr">
        <is>
          <t>N</t>
        </is>
      </c>
      <c r="G200" t="inlineStr"/>
      <c r="H200" s="6" t="inlineStr"/>
      <c r="I200" t="inlineStr"/>
      <c r="J200" t="inlineStr"/>
      <c r="K200" t="inlineStr"/>
    </row>
    <row r="201">
      <c r="A201" t="n">
        <v>200</v>
      </c>
      <c r="B201" t="inlineStr">
        <is>
          <t>아이유</t>
        </is>
      </c>
      <c r="C201" t="inlineStr">
        <is>
          <t>spillover</t>
        </is>
      </c>
      <c r="D201" s="2" t="inlineStr">
        <is>
          <t>일본 매체(amp.nspna.com)는 "IU, 일본에서 신곡 발표…오리콘 차트 9위"("ＩＵ、日本で新曲発表…オリコンチャート9位") 제하 기사에서 IU의 일본 신곡이 오리콘 차트 9위에 올랐다고 보도했다.</t>
        </is>
      </c>
      <c r="E201" t="inlineStr"/>
      <c r="F201" t="inlineStr">
        <is>
          <t>N</t>
        </is>
      </c>
      <c r="G201" t="inlineStr"/>
      <c r="H201" s="6" t="inlineStr"/>
      <c r="I201" t="inlineStr"/>
      <c r="J201" t="inlineStr"/>
      <c r="K201" t="inlineStr"/>
    </row>
  </sheetData>
  <autoFilter ref="A1:K201"/>
  <dataValidations count="2">
    <dataValidation sqref="H2:H201" showDropDown="0" showInputMessage="0" showErrorMessage="0" allowBlank="1" type="list">
      <formula1>"A 누락·사전추가,B 누락·사전제외,C 경계·정의결정,D 아님,E 보류"</formula1>
    </dataValidation>
    <dataValidation sqref="J2:J201" showDropDown="0" showInputMessage="0" showErrorMessage="0" allowBlank="1" type="list">
      <formula1>"서울,부산,대구,인천,광주,대전,울산,세종,경기,강원,충북,충남,전북,전남,경북,경남,제주"</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8" customWidth="1" min="1" max="1"/>
    <col width="60" customWidth="1" min="2" max="2"/>
    <col width="40" customWidth="1" min="3" max="3"/>
    <col width="10" customWidth="1" min="4" max="4"/>
    <col width="12" customWidth="1" min="5" max="5"/>
    <col width="16" customWidth="1" min="6" max="6"/>
    <col width="30" customWidth="1" min="7" max="7"/>
    <col width="25" customWidth="1" min="8" max="8"/>
  </cols>
  <sheetData>
    <row r="1">
      <c r="A1" s="4" t="inlineStr">
        <is>
          <t>지표</t>
        </is>
      </c>
      <c r="B1" s="4" t="inlineStr">
        <is>
          <t>후보 표현(|로 구분)</t>
        </is>
      </c>
      <c r="C1" s="4" t="inlineStr">
        <is>
          <t>근거</t>
        </is>
      </c>
      <c r="D1" s="4" t="inlineStr">
        <is>
          <t>표본에서 본 건수</t>
        </is>
      </c>
      <c r="E1" s="4" t="inlineStr">
        <is>
          <t>관련 정의결정</t>
        </is>
      </c>
      <c r="F1" s="4" t="inlineStr">
        <is>
          <t>처리</t>
        </is>
      </c>
      <c r="G1" s="4" t="inlineStr">
        <is>
          <t>수정안(수정해서 추가일 때)</t>
        </is>
      </c>
      <c r="H1" s="4" t="inlineStr">
        <is>
          <t>메모</t>
        </is>
      </c>
    </row>
    <row r="2">
      <c r="A2" t="inlineStr">
        <is>
          <t>광고</t>
        </is>
      </c>
      <c r="B2" s="2" t="inlineStr">
        <is>
          <t>brand ambassador|ambassador|endorsement|endorsements|brand model|spokesmodel|promotional face|campaign face</t>
        </is>
      </c>
      <c r="C2" s="2" t="inlineStr">
        <is>
          <t>영문 불릿의 상업 계약 신호 — 표본 7건 중 6건</t>
        </is>
      </c>
      <c r="D2" t="n">
        <v>6</v>
      </c>
      <c r="E2" t="inlineStr">
        <is>
          <t>Q1</t>
        </is>
      </c>
      <c r="F2" s="6" t="inlineStr"/>
      <c r="G2" t="inlineStr"/>
      <c r="H2" t="inlineStr"/>
    </row>
    <row r="3">
      <c r="A3" t="inlineStr">
        <is>
          <t>광고</t>
        </is>
      </c>
      <c r="B3" s="2" t="inlineStr">
        <is>
          <t>화보 공개|브랜드 화보</t>
        </is>
      </c>
      <c r="C3" s="2" t="inlineStr">
        <is>
          <t>'화보 촬영'만 있어 '화보 공개'를 놓침</t>
        </is>
      </c>
      <c r="D3" t="n">
        <v>1</v>
      </c>
      <c r="E3" t="inlineStr">
        <is>
          <t>Q2</t>
        </is>
      </c>
      <c r="F3" s="6" t="inlineStr"/>
      <c r="G3" t="inlineStr"/>
      <c r="H3" t="inlineStr"/>
    </row>
    <row r="4">
      <c r="A4" t="inlineStr">
        <is>
          <t>미디어</t>
        </is>
      </c>
      <c r="B4" s="2" t="inlineStr">
        <is>
          <t>런닝맨|아는 형님|나는 가수다|나는가수다|쇼미더머니|히든싱어|미스터트롯|더 팬|아이돌학교|겟잇뷰티|불후의 명곡|유 퀴즈|복면가왕|주간아이돌|킹덤</t>
        </is>
      </c>
      <c r="C4" s="2" t="inlineStr">
        <is>
          <t>예능·서바이벌 프로그램명(서브태그 단어 없이 등장)</t>
        </is>
      </c>
      <c r="D4" t="n">
        <v>11</v>
      </c>
      <c r="E4" t="inlineStr">
        <is>
          <t>Q6</t>
        </is>
      </c>
      <c r="F4" s="6" t="inlineStr"/>
      <c r="G4" t="inlineStr"/>
      <c r="H4" t="inlineStr"/>
    </row>
    <row r="5">
      <c r="A5" t="inlineStr">
        <is>
          <t>미디어</t>
        </is>
      </c>
      <c r="B5" s="2" t="inlineStr">
        <is>
          <t>라디오|Inter-FM|FM4U|파워FM</t>
        </is>
      </c>
      <c r="C5" s="2" t="inlineStr">
        <is>
          <t>라디오 출연·진행</t>
        </is>
      </c>
      <c r="D5" t="n">
        <v>2</v>
      </c>
      <c r="E5" t="inlineStr">
        <is>
          <t>Q5</t>
        </is>
      </c>
      <c r="F5" s="6" t="inlineStr"/>
      <c r="G5" t="inlineStr"/>
      <c r="H5" t="inlineStr"/>
    </row>
    <row r="6">
      <c r="A6" t="inlineStr">
        <is>
          <t>미디어</t>
        </is>
      </c>
      <c r="B6" s="2" t="inlineStr">
        <is>
          <t>서바이벌|경연|오디션 프로그램|MC|진행자|심사위원</t>
        </is>
      </c>
      <c r="C6" s="2" t="inlineStr">
        <is>
          <t>예능 형식어</t>
        </is>
      </c>
      <c r="D6" t="n">
        <v>3</v>
      </c>
      <c r="E6" t="inlineStr">
        <is>
          <t>Q6</t>
        </is>
      </c>
      <c r="F6" s="6" t="inlineStr"/>
      <c r="G6" t="inlineStr"/>
      <c r="H6" t="inlineStr"/>
    </row>
    <row r="7">
      <c r="A7" t="inlineStr">
        <is>
          <t>미디어</t>
        </is>
      </c>
      <c r="B7" s="2" t="inlineStr">
        <is>
          <t>documentary|show|variety|バラエティ|番組|late show</t>
        </is>
      </c>
      <c r="C7" s="2" t="inlineStr">
        <is>
          <t>영문·일문 방송 표현</t>
        </is>
      </c>
      <c r="D7" t="n">
        <v>4</v>
      </c>
      <c r="E7" t="inlineStr">
        <is>
          <t>Q7</t>
        </is>
      </c>
      <c r="F7" s="6" t="inlineStr"/>
      <c r="G7" t="inlineStr"/>
      <c r="H7" t="inlineStr"/>
    </row>
    <row r="8">
      <c r="A8" t="inlineStr">
        <is>
          <t>미디어</t>
        </is>
      </c>
      <c r="B8" s="2" t="inlineStr">
        <is>
          <t>방송 출연|특집 방송|시청률|V LIVE|브이라이브</t>
        </is>
      </c>
      <c r="C8" s="2" t="inlineStr">
        <is>
          <t>방송 노출 일반어</t>
        </is>
      </c>
      <c r="D8" t="n">
        <v>3</v>
      </c>
      <c r="E8" t="inlineStr">
        <is>
          <t>Q6</t>
        </is>
      </c>
      <c r="F8" s="6" t="inlineStr"/>
      <c r="G8" t="inlineStr"/>
      <c r="H8" t="inlineStr"/>
    </row>
    <row r="9">
      <c r="A9" t="inlineStr">
        <is>
          <t>지역</t>
        </is>
      </c>
      <c r="B9" s="2" t="inlineStr">
        <is>
          <t>Seoul|Incheon|Daegu|Busan|Gwangju|Daejeon|Ulsan|Uijeongbu|Suwon|Jeju|Gyeonggi|Gangwon</t>
        </is>
      </c>
      <c r="C9" s="2" t="inlineStr">
        <is>
          <t>영문 지명 — 표본 6건 중 3건</t>
        </is>
      </c>
      <c r="D9" t="n">
        <v>3</v>
      </c>
      <c r="E9" t="inlineStr">
        <is>
          <t>Q9</t>
        </is>
      </c>
      <c r="F9" s="6" t="inlineStr"/>
      <c r="G9" t="inlineStr"/>
      <c r="H9" t="inlineStr"/>
    </row>
    <row r="10">
      <c r="A10" t="inlineStr">
        <is>
          <t>지역</t>
        </is>
      </c>
      <c r="B10" s="2" t="inlineStr">
        <is>
          <t>봉화|철원|해남|명량|경상북도|경상남도|전라북도|충청남도|충청북도|강원도|경기도 광주</t>
        </is>
      </c>
      <c r="C10" s="2" t="inlineStr">
        <is>
          <t>사전 밖 군 단위·도 전체명</t>
        </is>
      </c>
      <c r="D10" t="n">
        <v>3</v>
      </c>
      <c r="E10" t="inlineStr">
        <is>
          <t>Q10</t>
        </is>
      </c>
      <c r="F10" s="6" t="inlineStr"/>
      <c r="G10" t="inlineStr"/>
      <c r="H10" t="inlineStr"/>
    </row>
  </sheetData>
  <dataValidations count="1">
    <dataValidation sqref="F2:F10" showDropDown="0" showInputMessage="0" showErrorMessage="0" allowBlank="1" type="list">
      <formula1>"추가,수정해서 추가,제외,보류"</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8" customWidth="1" min="1" max="1"/>
    <col width="6" customWidth="1" min="2" max="2"/>
    <col width="8" customWidth="1" min="3" max="3"/>
    <col width="14" customWidth="1" min="4" max="4"/>
    <col width="14" customWidth="1" min="5" max="5"/>
    <col width="8" customWidth="1" min="6" max="6"/>
    <col width="8" customWidth="1" min="7" max="7"/>
    <col width="8" customWidth="1" min="8" max="8"/>
    <col width="8" customWidth="1" min="9" max="9"/>
    <col width="14" customWidth="1" min="10" max="10"/>
    <col width="12" customWidth="1" min="11" max="11"/>
    <col width="14" customWidth="1" min="12" max="12"/>
    <col width="8" customWidth="1" min="13" max="13"/>
    <col width="8" customWidth="1" min="14" max="14"/>
    <col width="12" customWidth="1" min="15" max="15"/>
    <col width="16" customWidth="1" min="16" max="16"/>
  </cols>
  <sheetData>
    <row r="1">
      <c r="A1" s="4" t="inlineStr">
        <is>
          <t>지표</t>
        </is>
      </c>
      <c r="B1" s="4" t="inlineStr">
        <is>
          <t>표본</t>
        </is>
      </c>
      <c r="C1" s="4" t="inlineStr">
        <is>
          <t>모델 Y</t>
        </is>
      </c>
      <c r="D1" s="4" t="inlineStr">
        <is>
          <t>A 누락·사전추가</t>
        </is>
      </c>
      <c r="E1" s="4" t="inlineStr">
        <is>
          <t>B 누락·사전제외</t>
        </is>
      </c>
      <c r="F1" s="4" t="inlineStr">
        <is>
          <t>C 경계</t>
        </is>
      </c>
      <c r="G1" s="4" t="inlineStr">
        <is>
          <t>D 아님</t>
        </is>
      </c>
      <c r="H1" s="4" t="inlineStr">
        <is>
          <t>E 보류</t>
        </is>
      </c>
      <c r="I1" s="4" t="inlineStr">
        <is>
          <t>미판정</t>
        </is>
      </c>
      <c r="J1" s="4" t="inlineStr">
        <is>
          <t>확정 누락(A+B)</t>
        </is>
      </c>
      <c r="K1" s="4" t="inlineStr">
        <is>
          <t>표본 누락 비율</t>
        </is>
      </c>
      <c r="L1" s="4" t="inlineStr">
        <is>
          <t>경계 포함 시 비율</t>
        </is>
      </c>
      <c r="M1" s="4" t="inlineStr">
        <is>
          <t>매칭</t>
        </is>
      </c>
      <c r="N1" s="4" t="inlineStr">
        <is>
          <t>미매칭</t>
        </is>
      </c>
      <c r="O1" s="4" t="inlineStr">
        <is>
          <t>재현율 추정</t>
        </is>
      </c>
      <c r="P1" s="4" t="inlineStr">
        <is>
          <t>경계 포함 시 재현율</t>
        </is>
      </c>
    </row>
    <row r="2">
      <c r="A2" t="inlineStr">
        <is>
          <t>광고</t>
        </is>
      </c>
      <c r="B2" t="n">
        <v>200</v>
      </c>
      <c r="C2">
        <f>COUNTIF('광고'!F2:F201,"Y")</f>
        <v/>
      </c>
      <c r="D2">
        <f>COUNTIF('광고'!H2:H201,"A 누락·사전추가")</f>
        <v/>
      </c>
      <c r="E2">
        <f>COUNTIF('광고'!H2:H201,"B 누락·사전제외")</f>
        <v/>
      </c>
      <c r="F2">
        <f>COUNTIF('광고'!H2:H201,"C 경계·정의결정")</f>
        <v/>
      </c>
      <c r="G2">
        <f>COUNTIF('광고'!H2:H201,"D 아님")</f>
        <v/>
      </c>
      <c r="H2">
        <f>COUNTIF('광고'!H2:H201,"E 보류")</f>
        <v/>
      </c>
      <c r="I2">
        <f>200-SUM(D2:H2)</f>
        <v/>
      </c>
      <c r="J2">
        <f>D2+E2</f>
        <v/>
      </c>
      <c r="K2" s="9">
        <f>J2/B2</f>
        <v/>
      </c>
      <c r="L2" s="9">
        <f>(J2+F2)/B2</f>
        <v/>
      </c>
      <c r="M2" t="n">
        <v>1308</v>
      </c>
      <c r="N2" t="n">
        <v>8712</v>
      </c>
      <c r="O2" s="10">
        <f>M2/(M2+N2*K2)</f>
        <v/>
      </c>
      <c r="P2" s="10">
        <f>M2/(M2+N2*L2)</f>
        <v/>
      </c>
    </row>
    <row r="3">
      <c r="A3" t="inlineStr">
        <is>
          <t>미디어</t>
        </is>
      </c>
      <c r="B3" t="n">
        <v>200</v>
      </c>
      <c r="C3">
        <f>COUNTIF('미디어'!F2:F201,"Y")</f>
        <v/>
      </c>
      <c r="D3">
        <f>COUNTIF('미디어'!H2:H201,"A 누락·사전추가")</f>
        <v/>
      </c>
      <c r="E3">
        <f>COUNTIF('미디어'!H2:H201,"B 누락·사전제외")</f>
        <v/>
      </c>
      <c r="F3">
        <f>COUNTIF('미디어'!H2:H201,"C 경계·정의결정")</f>
        <v/>
      </c>
      <c r="G3">
        <f>COUNTIF('미디어'!H2:H201,"D 아님")</f>
        <v/>
      </c>
      <c r="H3">
        <f>COUNTIF('미디어'!H2:H201,"E 보류")</f>
        <v/>
      </c>
      <c r="I3">
        <f>200-SUM(D3:H3)</f>
        <v/>
      </c>
      <c r="J3">
        <f>D3+E3</f>
        <v/>
      </c>
      <c r="K3" s="9">
        <f>J3/B3</f>
        <v/>
      </c>
      <c r="L3" s="9">
        <f>(J3+F3)/B3</f>
        <v/>
      </c>
      <c r="M3" t="n">
        <v>1025</v>
      </c>
      <c r="N3" t="n">
        <v>8995</v>
      </c>
      <c r="O3" s="10">
        <f>M3/(M3+N3*K3)</f>
        <v/>
      </c>
      <c r="P3" s="10">
        <f>M3/(M3+N3*L3)</f>
        <v/>
      </c>
    </row>
    <row r="4">
      <c r="A4" t="inlineStr">
        <is>
          <t>지역</t>
        </is>
      </c>
      <c r="B4" t="n">
        <v>200</v>
      </c>
      <c r="C4">
        <f>COUNTIF('지역'!F2:F201,"Y")</f>
        <v/>
      </c>
      <c r="D4">
        <f>COUNTIF('지역'!H2:H201,"A 누락·사전추가")</f>
        <v/>
      </c>
      <c r="E4">
        <f>COUNTIF('지역'!H2:H201,"B 누락·사전제외")</f>
        <v/>
      </c>
      <c r="F4">
        <f>COUNTIF('지역'!H2:H201,"C 경계·정의결정")</f>
        <v/>
      </c>
      <c r="G4">
        <f>COUNTIF('지역'!H2:H201,"D 아님")</f>
        <v/>
      </c>
      <c r="H4">
        <f>COUNTIF('지역'!H2:H201,"E 보류")</f>
        <v/>
      </c>
      <c r="I4">
        <f>200-SUM(D4:H4)</f>
        <v/>
      </c>
      <c r="J4">
        <f>D4+E4</f>
        <v/>
      </c>
      <c r="K4" s="9">
        <f>J4/B4</f>
        <v/>
      </c>
      <c r="L4" s="9">
        <f>(J4+F4)/B4</f>
        <v/>
      </c>
      <c r="M4" t="n">
        <v>940</v>
      </c>
      <c r="N4" t="n">
        <v>9080</v>
      </c>
      <c r="O4" s="10">
        <f>M4/(M4+N4*K4)</f>
        <v/>
      </c>
      <c r="P4" s="10">
        <f>M4/(M4+N4*L4)</f>
        <v/>
      </c>
    </row>
    <row r="6">
      <c r="A6" t="inlineStr">
        <is>
          <t>확정 누락 = A + B. C(경계)는 정의결정에서 '포함'을 고른 경우에만 누락으로 세며, 그 상한이 '경계 포함 시' 열이다. E·미판정은 누락 아님으로 계산된다. 재현율 = 매칭 / (매칭 + 미매칭 × 표본 누락 비율).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2026-09-23T06:08:08Z</dcterms:created>
  <dcterms:modified xmlns:dcterms="http://purl.org/dc/terms/" xmlns:xsi="http://www.w3.org/2001/XMLSchema-instance" xsi:type="dcterms:W3CDTF">2026-09-23T06:08:08Z</dcterms:modified>
</cp:coreProperties>
</file>